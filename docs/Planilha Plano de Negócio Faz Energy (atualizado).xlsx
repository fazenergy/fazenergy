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tint\Dropbox\FDS-CBEC GESTÃO\FdS\"/>
    </mc:Choice>
  </mc:AlternateContent>
  <xr:revisionPtr revIDLastSave="0" documentId="13_ncr:1_{5470190F-BDCA-4972-951F-2EACEC84457E}" xr6:coauthVersionLast="47" xr6:coauthVersionMax="47" xr10:uidLastSave="{00000000-0000-0000-0000-000000000000}"/>
  <bookViews>
    <workbookView xWindow="-108" yWindow="-108" windowWidth="23256" windowHeight="12456" activeTab="5" xr2:uid="{555FF904-74B8-4773-A645-6988717C94DA}"/>
  </bookViews>
  <sheets>
    <sheet name="ORGANOGRAMA" sheetId="1" r:id="rId1"/>
    <sheet name="Funções - Faz Energy" sheetId="2" r:id="rId2"/>
    <sheet name="Fluxograma" sheetId="3" r:id="rId3"/>
    <sheet name="Simulação-MMN" sheetId="7" r:id="rId4"/>
    <sheet name="Base de Calculo-MMN" sheetId="5" state="hidden" r:id="rId5"/>
    <sheet name="Plano de Carreira" sheetId="8" r:id="rId6"/>
    <sheet name="Simulador-Rent Revo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8" l="1"/>
  <c r="M39" i="7"/>
  <c r="L39" i="7"/>
  <c r="K39" i="7"/>
  <c r="K38" i="7"/>
  <c r="P60" i="7"/>
  <c r="P58" i="7"/>
  <c r="O60" i="7"/>
  <c r="O58" i="7"/>
  <c r="P39" i="7"/>
  <c r="O47" i="7"/>
  <c r="J54" i="7"/>
  <c r="J47" i="7"/>
  <c r="J39" i="7"/>
  <c r="J60" i="7"/>
  <c r="K60" i="7"/>
  <c r="L60" i="7"/>
  <c r="M60" i="7"/>
  <c r="M59" i="7"/>
  <c r="L59" i="7"/>
  <c r="J59" i="7"/>
  <c r="K59" i="7"/>
  <c r="K58" i="7"/>
  <c r="L58" i="7"/>
  <c r="M58" i="7"/>
  <c r="L57" i="7"/>
  <c r="M57" i="7"/>
  <c r="K57" i="7"/>
  <c r="K56" i="7"/>
  <c r="L56" i="7"/>
  <c r="M56" i="7"/>
  <c r="J56" i="7"/>
  <c r="O53" i="7"/>
  <c r="M54" i="7"/>
  <c r="L54" i="7"/>
  <c r="K54" i="7"/>
  <c r="O54" i="7"/>
  <c r="M53" i="7"/>
  <c r="L53" i="7"/>
  <c r="K53" i="7"/>
  <c r="J53" i="7"/>
  <c r="L52" i="7"/>
  <c r="M51" i="7"/>
  <c r="M52" i="7" s="1"/>
  <c r="L51" i="7"/>
  <c r="K51" i="7"/>
  <c r="K52" i="7" s="1"/>
  <c r="J51" i="7"/>
  <c r="J52" i="7" s="1"/>
  <c r="O46" i="7"/>
  <c r="M47" i="7"/>
  <c r="L47" i="7"/>
  <c r="K47" i="7"/>
  <c r="M46" i="7"/>
  <c r="L46" i="7"/>
  <c r="K46" i="7"/>
  <c r="J46" i="7"/>
  <c r="L38" i="7"/>
  <c r="M45" i="7"/>
  <c r="L45" i="7"/>
  <c r="M44" i="7"/>
  <c r="L44" i="7"/>
  <c r="K44" i="7"/>
  <c r="K45" i="7" s="1"/>
  <c r="J44" i="7"/>
  <c r="J45" i="7" s="1"/>
  <c r="M38" i="7"/>
  <c r="J38" i="7"/>
  <c r="K37" i="7"/>
  <c r="J37" i="7"/>
  <c r="M36" i="7"/>
  <c r="L36" i="7"/>
  <c r="L37" i="7" s="1"/>
  <c r="K36" i="7"/>
  <c r="J36" i="7"/>
  <c r="O38" i="7"/>
  <c r="M37" i="7"/>
  <c r="E38" i="7"/>
  <c r="D38" i="7"/>
  <c r="D37" i="7"/>
  <c r="D36" i="7"/>
  <c r="J31" i="7"/>
  <c r="D32" i="7"/>
  <c r="D31" i="7"/>
  <c r="Z16" i="7"/>
  <c r="Z14" i="7"/>
  <c r="Z9" i="7"/>
  <c r="Z8" i="7"/>
  <c r="Z7" i="7"/>
  <c r="Z20" i="7" s="1"/>
  <c r="AA20" i="7" s="1"/>
  <c r="Z18" i="7"/>
  <c r="Z10" i="7"/>
  <c r="Z11" i="7"/>
  <c r="Z12" i="7"/>
  <c r="Z13" i="7"/>
  <c r="Z17" i="7"/>
  <c r="Z15" i="7"/>
  <c r="U21" i="7"/>
  <c r="U7" i="7"/>
  <c r="U16" i="7"/>
  <c r="U15" i="7"/>
  <c r="U19" i="7"/>
  <c r="P7" i="7"/>
  <c r="P19" i="7" s="1"/>
  <c r="P8" i="7"/>
  <c r="U9" i="7"/>
  <c r="U10" i="7"/>
  <c r="U11" i="7"/>
  <c r="U12" i="7"/>
  <c r="U13" i="7"/>
  <c r="U8" i="7"/>
  <c r="U18" i="7"/>
  <c r="U14" i="7"/>
  <c r="E36" i="7"/>
  <c r="E37" i="7" s="1"/>
  <c r="P16" i="7"/>
  <c r="E7" i="7"/>
  <c r="K7" i="7"/>
  <c r="AC10" i="7"/>
  <c r="P15" i="7"/>
  <c r="J32" i="7" s="1"/>
  <c r="D11" i="7"/>
  <c r="E11" i="7" s="1"/>
  <c r="D12" i="7"/>
  <c r="E12" i="7" s="1"/>
  <c r="D13" i="7"/>
  <c r="E13" i="7" s="1"/>
  <c r="D14" i="7"/>
  <c r="E14" i="7" s="1"/>
  <c r="D10" i="7"/>
  <c r="E10" i="7" s="1"/>
  <c r="D9" i="7"/>
  <c r="E9" i="7" s="1"/>
  <c r="A5" i="6"/>
  <c r="J14" i="7"/>
  <c r="K14" i="7" s="1"/>
  <c r="D7" i="7"/>
  <c r="J8" i="7"/>
  <c r="J7" i="7"/>
  <c r="AC9" i="7"/>
  <c r="B5" i="6"/>
  <c r="B7" i="6"/>
  <c r="A7" i="6"/>
  <c r="P14" i="7"/>
  <c r="M2" i="5"/>
  <c r="A3" i="6" s="1"/>
  <c r="M13" i="5"/>
  <c r="P13" i="7"/>
  <c r="J13" i="7"/>
  <c r="K13" i="7" s="1"/>
  <c r="P12" i="7"/>
  <c r="J12" i="7"/>
  <c r="K12" i="7" s="1"/>
  <c r="P11" i="7"/>
  <c r="J11" i="7"/>
  <c r="K11" i="7" s="1"/>
  <c r="P10" i="7"/>
  <c r="J10" i="7"/>
  <c r="K10" i="7" s="1"/>
  <c r="P9" i="7"/>
  <c r="D8" i="7"/>
  <c r="D10" i="5"/>
  <c r="D11" i="5"/>
  <c r="D12" i="5"/>
  <c r="D9" i="5"/>
  <c r="D16" i="5" s="1"/>
  <c r="I10" i="5"/>
  <c r="I11" i="5"/>
  <c r="I12" i="5"/>
  <c r="I13" i="5"/>
  <c r="I9" i="5"/>
  <c r="I7" i="5"/>
  <c r="I6" i="5"/>
  <c r="D7" i="5"/>
  <c r="D6" i="5"/>
  <c r="O39" i="7" l="1"/>
  <c r="Z21" i="7"/>
  <c r="AA21" i="7" s="1"/>
  <c r="D18" i="7"/>
  <c r="AD6" i="7" s="1"/>
  <c r="E18" i="7"/>
  <c r="AD10" i="7"/>
  <c r="K18" i="7"/>
  <c r="J18" i="7"/>
  <c r="AD7" i="7" s="1"/>
  <c r="C3" i="6"/>
  <c r="T5" i="6" s="1"/>
  <c r="N7" i="5"/>
  <c r="N10" i="5"/>
  <c r="N6" i="5"/>
  <c r="N9" i="5"/>
  <c r="N8" i="5"/>
  <c r="N12" i="5"/>
  <c r="N11" i="5"/>
  <c r="N13" i="5"/>
  <c r="I16" i="5"/>
  <c r="F5" i="6" l="1"/>
  <c r="W5" i="6"/>
  <c r="R5" i="6"/>
  <c r="S5" i="6"/>
  <c r="Q5" i="6"/>
  <c r="I5" i="6"/>
  <c r="V5" i="6"/>
  <c r="Y5" i="6"/>
  <c r="G5" i="6"/>
  <c r="Z5" i="6"/>
  <c r="E5" i="6"/>
  <c r="O5" i="6"/>
  <c r="K5" i="6"/>
  <c r="J5" i="6"/>
  <c r="AA5" i="6"/>
  <c r="L5" i="6"/>
  <c r="D5" i="6"/>
  <c r="X5" i="6"/>
  <c r="U5" i="6"/>
  <c r="C4" i="6"/>
  <c r="H5" i="6"/>
  <c r="M5" i="6"/>
  <c r="N5" i="6"/>
  <c r="P5" i="6"/>
  <c r="H3" i="6"/>
  <c r="H4" i="6" s="1"/>
  <c r="T3" i="6"/>
  <c r="T4" i="6" s="1"/>
  <c r="M3" i="6"/>
  <c r="M4" i="6" s="1"/>
  <c r="Y3" i="6"/>
  <c r="Y4" i="6" s="1"/>
  <c r="I3" i="6"/>
  <c r="I4" i="6" s="1"/>
  <c r="U3" i="6"/>
  <c r="U4" i="6" s="1"/>
  <c r="J3" i="6"/>
  <c r="J4" i="6" s="1"/>
  <c r="V3" i="6"/>
  <c r="V4" i="6" s="1"/>
  <c r="K3" i="6"/>
  <c r="K4" i="6" s="1"/>
  <c r="W3" i="6"/>
  <c r="W4" i="6" s="1"/>
  <c r="L3" i="6"/>
  <c r="L4" i="6" s="1"/>
  <c r="X3" i="6"/>
  <c r="X4" i="6" s="1"/>
  <c r="N3" i="6"/>
  <c r="N4" i="6" s="1"/>
  <c r="Z3" i="6"/>
  <c r="Z4" i="6" s="1"/>
  <c r="O3" i="6"/>
  <c r="O4" i="6" s="1"/>
  <c r="AA3" i="6"/>
  <c r="AA4" i="6" s="1"/>
  <c r="P3" i="6"/>
  <c r="P4" i="6" s="1"/>
  <c r="D3" i="6"/>
  <c r="D4" i="6" s="1"/>
  <c r="E3" i="6"/>
  <c r="E4" i="6" s="1"/>
  <c r="Q3" i="6"/>
  <c r="Q4" i="6" s="1"/>
  <c r="F3" i="6"/>
  <c r="F4" i="6" s="1"/>
  <c r="S3" i="6"/>
  <c r="S4" i="6" s="1"/>
  <c r="R3" i="6"/>
  <c r="R4" i="6" s="1"/>
  <c r="G3" i="6"/>
  <c r="G4" i="6" s="1"/>
  <c r="N16" i="5"/>
  <c r="I6" i="6" l="1"/>
  <c r="M6" i="6"/>
  <c r="S6" i="6"/>
  <c r="O6" i="6"/>
  <c r="N6" i="6"/>
  <c r="D6" i="6"/>
  <c r="T6" i="6"/>
  <c r="V6" i="6"/>
  <c r="Z6" i="6"/>
  <c r="AA6" i="6"/>
  <c r="Q6" i="6"/>
  <c r="H6" i="6"/>
  <c r="K6" i="6"/>
  <c r="F6" i="6"/>
  <c r="G6" i="6"/>
  <c r="W6" i="6"/>
  <c r="E6" i="6"/>
  <c r="P6" i="6"/>
  <c r="U6" i="6"/>
  <c r="Y6" i="6"/>
  <c r="R6" i="6"/>
  <c r="L6" i="6"/>
  <c r="J6" i="6"/>
  <c r="X6" i="6"/>
  <c r="E7" i="6" l="1"/>
  <c r="F7" i="6" s="1"/>
  <c r="G7" i="6" s="1"/>
  <c r="H7" i="6" s="1"/>
  <c r="I7" i="6" s="1"/>
  <c r="J7" i="6" s="1"/>
  <c r="K7" i="6" s="1"/>
  <c r="L7" i="6" s="1"/>
  <c r="M7" i="6" s="1"/>
  <c r="N7" i="6" s="1"/>
  <c r="O7" i="6" s="1"/>
  <c r="P7" i="6" s="1"/>
  <c r="Q7" i="6" s="1"/>
  <c r="R7" i="6" s="1"/>
  <c r="S7" i="6" s="1"/>
  <c r="T7" i="6" s="1"/>
  <c r="U7" i="6" s="1"/>
  <c r="V7" i="6" s="1"/>
  <c r="W7" i="6" s="1"/>
  <c r="X7" i="6" s="1"/>
  <c r="Y7" i="6" s="1"/>
  <c r="Z7" i="6" s="1"/>
  <c r="AA7" i="6" l="1"/>
  <c r="P18" i="7" s="1"/>
  <c r="P21" i="7" s="1"/>
  <c r="Q21" i="7" l="1"/>
  <c r="J57" i="7"/>
  <c r="J58" i="7" s="1"/>
  <c r="AD9" i="7"/>
  <c r="AD12" i="7" s="1"/>
</calcChain>
</file>

<file path=xl/sharedStrings.xml><?xml version="1.0" encoding="utf-8"?>
<sst xmlns="http://schemas.openxmlformats.org/spreadsheetml/2006/main" count="245" uniqueCount="119">
  <si>
    <t>GENTE E GESTÃO</t>
  </si>
  <si>
    <t>FINANCEIRO</t>
  </si>
  <si>
    <t>MARKETING</t>
  </si>
  <si>
    <t>COMERCIAL</t>
  </si>
  <si>
    <t>T.I.</t>
  </si>
  <si>
    <t>TAXA DE ADESÃO</t>
  </si>
  <si>
    <t>Calculo de rentabilidade</t>
  </si>
  <si>
    <t>Item</t>
  </si>
  <si>
    <t>Descrição</t>
  </si>
  <si>
    <t>Valor / Taxa</t>
  </si>
  <si>
    <t>Total</t>
  </si>
  <si>
    <t>Impostos / NF</t>
  </si>
  <si>
    <t>Taxa de transação</t>
  </si>
  <si>
    <t>Rede Nível 1</t>
  </si>
  <si>
    <t>Rede Nível 2</t>
  </si>
  <si>
    <t>Rede Nível 3</t>
  </si>
  <si>
    <t>Rede Nível 4</t>
  </si>
  <si>
    <t>Rede Nível 5</t>
  </si>
  <si>
    <t>Reserva - Premiação</t>
  </si>
  <si>
    <t>Indicação direta</t>
  </si>
  <si>
    <t>SALDO</t>
  </si>
  <si>
    <t>TAXA DE Instalação</t>
  </si>
  <si>
    <t>Remuneração recorrente</t>
  </si>
  <si>
    <t>Vendedor</t>
  </si>
  <si>
    <t>Remuneração K</t>
  </si>
  <si>
    <t>Meses</t>
  </si>
  <si>
    <t>Imposto</t>
  </si>
  <si>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</si>
  <si>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</si>
  <si>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</si>
  <si>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</si>
  <si>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</si>
  <si>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</si>
  <si>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</si>
  <si>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</si>
  <si>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</si>
  <si>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</si>
  <si>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</si>
  <si>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</si>
  <si>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</si>
  <si>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</si>
  <si>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</si>
  <si>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</si>
  <si>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</si>
  <si>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</si>
  <si>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</si>
  <si>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</si>
  <si>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</si>
  <si>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</si>
  <si>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</si>
  <si>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</si>
  <si>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</si>
  <si>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SALDO (48 meses)</t>
  </si>
  <si>
    <t>Conta mensal</t>
  </si>
  <si>
    <t>Última atualização: 19/dez/2024</t>
  </si>
  <si>
    <t>Projeções (cenário base)</t>
  </si>
  <si>
    <t>PIB – crescimento real (% a.a.)</t>
  </si>
  <si>
    <t>PIB – nominal (R$ bilhões)</t>
  </si>
  <si>
    <t>IPCA – acum. (% no ano)</t>
  </si>
  <si>
    <t>Taxa de câmbio - fim de período (R$/US$)</t>
  </si>
  <si>
    <t>Ocupação - crescimento (%)</t>
  </si>
  <si>
    <t>Massa salarial - crescimento (%)</t>
  </si>
  <si>
    <t>Selic – fim de período (% a.a.)</t>
  </si>
  <si>
    <t>Juros reais ex-ante (% a.a.)</t>
  </si>
  <si>
    <t>Resultado Primário do Setor Público Consolidado (% do PIB)</t>
  </si>
  <si>
    <t xml:space="preserve">    dos quais Governo Central</t>
  </si>
  <si>
    <t>Juros Nominais Líquidos (% do PIB)</t>
  </si>
  <si>
    <t>Resultado Nominal (% do PIB)</t>
  </si>
  <si>
    <t>Dívida Bruta do Governo Geral (% do PIB)</t>
  </si>
  <si>
    <t>https://www12.senado.leg.br/ifi/dados/arquivos/projecoes-ifi</t>
  </si>
  <si>
    <t xml:space="preserve">Simulação de faturamento </t>
  </si>
  <si>
    <t>Instalações</t>
  </si>
  <si>
    <t>N</t>
  </si>
  <si>
    <t>TOTAL</t>
  </si>
  <si>
    <t>Saldo</t>
  </si>
  <si>
    <t>SALDO (24 meses)</t>
  </si>
  <si>
    <t xml:space="preserve">*saldo em 24 meses </t>
  </si>
  <si>
    <t>UPGRADE CLIENTE</t>
  </si>
  <si>
    <t>UPGRADES CLIENTES</t>
  </si>
  <si>
    <t>Comissão Upfront</t>
  </si>
  <si>
    <t>Mensalidade Revo</t>
  </si>
  <si>
    <t>SALDO D+0</t>
  </si>
  <si>
    <t>LICENCA ANUAL</t>
  </si>
  <si>
    <t>Volume de contas Recorrente</t>
  </si>
  <si>
    <t>Volume de Contas D+0</t>
  </si>
  <si>
    <t>Numero de Instalações vendidades para Break-Even do Investimento Licença</t>
  </si>
  <si>
    <t>A Prazo</t>
  </si>
  <si>
    <t>A vista</t>
  </si>
  <si>
    <t>Plano de Carreira Faz Energy</t>
  </si>
  <si>
    <t>Adesão</t>
  </si>
  <si>
    <t>Upgrade</t>
  </si>
  <si>
    <t>Mensalidade</t>
  </si>
  <si>
    <t>Plano de Carreira</t>
  </si>
  <si>
    <t>SALDO FAZ ENERGY</t>
  </si>
  <si>
    <t>Break-Even do Investimento Licença - Esforço mínimo</t>
  </si>
  <si>
    <t>Licenças</t>
  </si>
  <si>
    <t>Valor da conta</t>
  </si>
  <si>
    <t>Fazenda do Sol</t>
  </si>
  <si>
    <t>Desconto total</t>
  </si>
  <si>
    <t>Rem</t>
  </si>
  <si>
    <t>SALDO TOTAL FAZ ENERGY</t>
  </si>
  <si>
    <t>SALDO FAZ ENERGY - Recorrente</t>
  </si>
  <si>
    <t>Venda de modulos</t>
  </si>
  <si>
    <t>Custos usina</t>
  </si>
  <si>
    <t>Valor da usina</t>
  </si>
  <si>
    <t>Custos com inst</t>
  </si>
  <si>
    <t>poxxxx venda</t>
  </si>
  <si>
    <t xml:space="preserve">SALDO FAZ ENERGY </t>
  </si>
  <si>
    <t>SALDO FAZ ENERGY  - disponivel</t>
  </si>
  <si>
    <t>Revo</t>
  </si>
  <si>
    <t>10% da mensalidade</t>
  </si>
  <si>
    <t>Energia por assinatura</t>
  </si>
  <si>
    <t>Venda de Sistema</t>
  </si>
  <si>
    <t>2% da venda total</t>
  </si>
  <si>
    <t>REVO</t>
  </si>
  <si>
    <t>VD</t>
  </si>
  <si>
    <t>Ass</t>
  </si>
  <si>
    <t>R$</t>
  </si>
  <si>
    <t>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</si>
</sst>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"/>
    <numFmt numFmtId="165" formatCode="0.0%"/>
    <numFmt numFmtId="166" formatCode="_-* #,##0_-;\-* #,##0_-;_-* &quot;-&quot;??_-;_-@_-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rgb="FFFFFFFF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sz val="10"/>
      <name val="Times New Roman"/>
      <family val="1"/>
    </font>
    <font>
      <i/>
      <sz val="11"/>
      <name val="Aptos Narrow"/>
      <family val="2"/>
      <scheme val="minor"/>
    </font>
    <font>
      <sz val="9"/>
      <color rgb="FF000000"/>
      <name val="Calibri"/>
      <family val="2"/>
    </font>
    <font>
      <sz val="9"/>
      <name val="Calibri"/>
      <family val="2"/>
    </font>
    <font>
      <b/>
      <sz val="9"/>
      <color rgb="FFFFFFFF"/>
      <name val="Calibri"/>
      <family val="2"/>
    </font>
    <font>
      <sz val="11"/>
      <color rgb="FF00B0F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5D8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499984740745262"/>
        <bgColor indexed="64"/>
      </patternFill>
    </fill>
  </fills>
  <borders count="30">
    <border>
      <left/>
      <right/>
      <top/>
      <bottom/>
      <diagonal/>
    </border>
    <border>
      <left style="thick">
        <color rgb="FF005D89"/>
      </left>
      <right/>
      <top style="thick">
        <color rgb="FF005D89"/>
      </top>
      <bottom/>
      <diagonal/>
    </border>
    <border>
      <left/>
      <right/>
      <top style="thick">
        <color rgb="FF005D89"/>
      </top>
      <bottom/>
      <diagonal/>
    </border>
    <border>
      <left/>
      <right/>
      <top style="thick">
        <color rgb="FF005D89"/>
      </top>
      <bottom style="thick">
        <color rgb="FFFFFFFF"/>
      </bottom>
      <diagonal/>
    </border>
    <border>
      <left/>
      <right style="thick">
        <color rgb="FF005D89"/>
      </right>
      <top style="thick">
        <color rgb="FF005D89"/>
      </top>
      <bottom style="thick">
        <color rgb="FFFFFFFF"/>
      </bottom>
      <diagonal/>
    </border>
    <border>
      <left style="thick">
        <color rgb="FF005D89"/>
      </left>
      <right/>
      <top/>
      <bottom style="thick">
        <color rgb="FFFFFFFF"/>
      </bottom>
      <diagonal/>
    </border>
    <border>
      <left/>
      <right/>
      <top style="thick">
        <color rgb="FF005D89"/>
      </top>
      <bottom style="medium">
        <color theme="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005D89"/>
      </right>
      <top style="thick">
        <color rgb="FFFFFFFF"/>
      </top>
      <bottom style="thick">
        <color rgb="FFFFFFFF"/>
      </bottom>
      <diagonal/>
    </border>
    <border>
      <left style="thick">
        <color rgb="FF005D89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ck">
        <color rgb="FF005D89"/>
      </right>
      <top/>
      <bottom style="thin">
        <color theme="0" tint="-0.14996795556505021"/>
      </bottom>
      <diagonal/>
    </border>
    <border>
      <left style="thick">
        <color rgb="FF005D89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ck">
        <color rgb="FF005D8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5D89"/>
      </left>
      <right/>
      <top style="thin">
        <color theme="0" tint="-0.14996795556505021"/>
      </top>
      <bottom style="thick">
        <color rgb="FF005D89"/>
      </bottom>
      <diagonal/>
    </border>
    <border>
      <left/>
      <right/>
      <top style="thin">
        <color theme="0" tint="-0.14996795556505021"/>
      </top>
      <bottom style="thick">
        <color rgb="FF005D89"/>
      </bottom>
      <diagonal/>
    </border>
    <border>
      <left/>
      <right style="thick">
        <color rgb="FF005D89"/>
      </right>
      <top style="thin">
        <color theme="0" tint="-0.14996795556505021"/>
      </top>
      <bottom style="thick">
        <color rgb="FF005D8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4">
    <xf numFmtId="0" fontId="0" fillId="0" borderId="0" xfId="0"/>
    <xf numFmtId="44" fontId="0" fillId="0" borderId="0" xfId="1" applyFont="1"/>
    <xf numFmtId="9" fontId="0" fillId="0" borderId="0" xfId="0" applyNumberFormat="1"/>
    <xf numFmtId="44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/>
    <xf numFmtId="44" fontId="0" fillId="0" borderId="0" xfId="1" applyFont="1" applyAlignment="1"/>
    <xf numFmtId="2" fontId="4" fillId="0" borderId="0" xfId="0" applyNumberFormat="1" applyFont="1"/>
    <xf numFmtId="0" fontId="5" fillId="2" borderId="2" xfId="0" applyFont="1" applyFill="1" applyBorder="1" applyAlignment="1">
      <alignment vertical="center"/>
    </xf>
    <xf numFmtId="2" fontId="6" fillId="3" borderId="10" xfId="0" applyNumberFormat="1" applyFont="1" applyFill="1" applyBorder="1" applyAlignment="1">
      <alignment horizontal="center" vertical="center"/>
    </xf>
    <xf numFmtId="2" fontId="7" fillId="3" borderId="10" xfId="0" applyNumberFormat="1" applyFont="1" applyFill="1" applyBorder="1" applyAlignment="1">
      <alignment horizontal="center" vertical="center"/>
    </xf>
    <xf numFmtId="2" fontId="6" fillId="3" borderId="11" xfId="0" applyNumberFormat="1" applyFont="1" applyFill="1" applyBorder="1" applyAlignment="1">
      <alignment horizontal="center" vertical="center"/>
    </xf>
    <xf numFmtId="3" fontId="6" fillId="4" borderId="13" xfId="0" applyNumberFormat="1" applyFont="1" applyFill="1" applyBorder="1" applyAlignment="1">
      <alignment horizontal="center" vertical="center"/>
    </xf>
    <xf numFmtId="3" fontId="7" fillId="4" borderId="13" xfId="0" applyNumberFormat="1" applyFont="1" applyFill="1" applyBorder="1" applyAlignment="1">
      <alignment horizontal="center" vertical="center"/>
    </xf>
    <xf numFmtId="3" fontId="6" fillId="4" borderId="14" xfId="0" applyNumberFormat="1" applyFont="1" applyFill="1" applyBorder="1" applyAlignment="1">
      <alignment horizontal="center" vertical="center"/>
    </xf>
    <xf numFmtId="4" fontId="6" fillId="3" borderId="13" xfId="0" applyNumberFormat="1" applyFont="1" applyFill="1" applyBorder="1" applyAlignment="1">
      <alignment horizontal="center" vertical="center"/>
    </xf>
    <xf numFmtId="4" fontId="7" fillId="3" borderId="13" xfId="0" applyNumberFormat="1" applyFont="1" applyFill="1" applyBorder="1" applyAlignment="1">
      <alignment horizontal="center" vertical="center"/>
    </xf>
    <xf numFmtId="2" fontId="6" fillId="3" borderId="13" xfId="0" applyNumberFormat="1" applyFont="1" applyFill="1" applyBorder="1" applyAlignment="1">
      <alignment horizontal="center" vertical="center"/>
    </xf>
    <xf numFmtId="2" fontId="6" fillId="3" borderId="14" xfId="0" applyNumberFormat="1" applyFont="1" applyFill="1" applyBorder="1" applyAlignment="1">
      <alignment horizontal="center" vertical="center"/>
    </xf>
    <xf numFmtId="4" fontId="6" fillId="4" borderId="13" xfId="0" applyNumberFormat="1" applyFont="1" applyFill="1" applyBorder="1" applyAlignment="1">
      <alignment horizontal="center" vertical="center"/>
    </xf>
    <xf numFmtId="4" fontId="7" fillId="4" borderId="13" xfId="0" applyNumberFormat="1" applyFont="1" applyFill="1" applyBorder="1" applyAlignment="1">
      <alignment horizontal="center" vertical="center"/>
    </xf>
    <xf numFmtId="2" fontId="6" fillId="4" borderId="13" xfId="0" applyNumberFormat="1" applyFont="1" applyFill="1" applyBorder="1" applyAlignment="1">
      <alignment horizontal="center" vertical="center"/>
    </xf>
    <xf numFmtId="2" fontId="6" fillId="4" borderId="14" xfId="0" applyNumberFormat="1" applyFont="1" applyFill="1" applyBorder="1" applyAlignment="1">
      <alignment horizontal="center" vertical="center"/>
    </xf>
    <xf numFmtId="2" fontId="7" fillId="3" borderId="13" xfId="0" applyNumberFormat="1" applyFont="1" applyFill="1" applyBorder="1" applyAlignment="1">
      <alignment horizontal="center" vertical="center"/>
    </xf>
    <xf numFmtId="2" fontId="7" fillId="4" borderId="13" xfId="0" applyNumberFormat="1" applyFont="1" applyFill="1" applyBorder="1" applyAlignment="1">
      <alignment horizontal="center" vertical="center"/>
    </xf>
    <xf numFmtId="164" fontId="6" fillId="3" borderId="16" xfId="0" applyNumberFormat="1" applyFont="1" applyFill="1" applyBorder="1" applyAlignment="1">
      <alignment horizontal="center" vertical="center"/>
    </xf>
    <xf numFmtId="164" fontId="7" fillId="3" borderId="16" xfId="0" applyNumberFormat="1" applyFont="1" applyFill="1" applyBorder="1" applyAlignment="1">
      <alignment horizontal="center" vertical="center"/>
    </xf>
    <xf numFmtId="164" fontId="6" fillId="3" borderId="17" xfId="0" applyNumberFormat="1" applyFont="1" applyFill="1" applyBorder="1" applyAlignment="1">
      <alignment horizontal="center" vertical="center"/>
    </xf>
    <xf numFmtId="0" fontId="9" fillId="4" borderId="0" xfId="3" applyFont="1" applyFill="1"/>
    <xf numFmtId="0" fontId="10" fillId="3" borderId="9" xfId="0" applyFont="1" applyFill="1" applyBorder="1" applyAlignment="1">
      <alignment horizontal="left" vertical="center" wrapText="1"/>
    </xf>
    <xf numFmtId="0" fontId="10" fillId="4" borderId="12" xfId="0" applyFont="1" applyFill="1" applyBorder="1" applyAlignment="1">
      <alignment horizontal="left" vertical="center" wrapText="1"/>
    </xf>
    <xf numFmtId="0" fontId="10" fillId="3" borderId="12" xfId="0" applyFont="1" applyFill="1" applyBorder="1" applyAlignment="1">
      <alignment horizontal="left" vertical="center" wrapText="1"/>
    </xf>
    <xf numFmtId="0" fontId="11" fillId="3" borderId="12" xfId="0" applyFont="1" applyFill="1" applyBorder="1" applyAlignment="1">
      <alignment horizontal="left" vertical="center" wrapText="1"/>
    </xf>
    <xf numFmtId="0" fontId="11" fillId="4" borderId="12" xfId="0" applyFont="1" applyFill="1" applyBorder="1" applyAlignment="1">
      <alignment horizontal="left" vertical="center" wrapText="1"/>
    </xf>
    <xf numFmtId="0" fontId="11" fillId="3" borderId="15" xfId="0" applyFont="1" applyFill="1" applyBorder="1" applyAlignment="1">
      <alignment horizontal="left" vertical="center" wrapText="1"/>
    </xf>
    <xf numFmtId="1" fontId="12" fillId="2" borderId="6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2" fontId="2" fillId="0" borderId="0" xfId="2" applyNumberFormat="1"/>
    <xf numFmtId="165" fontId="0" fillId="0" borderId="0" xfId="4" applyNumberFormat="1" applyFont="1"/>
    <xf numFmtId="9" fontId="0" fillId="0" borderId="0" xfId="4" applyFont="1"/>
    <xf numFmtId="44" fontId="13" fillId="0" borderId="0" xfId="1" applyFont="1"/>
    <xf numFmtId="0" fontId="0" fillId="0" borderId="18" xfId="0" applyBorder="1"/>
    <xf numFmtId="9" fontId="0" fillId="0" borderId="18" xfId="4" applyFont="1" applyBorder="1"/>
    <xf numFmtId="9" fontId="0" fillId="0" borderId="0" xfId="4" applyFont="1" applyBorder="1"/>
    <xf numFmtId="44" fontId="0" fillId="0" borderId="18" xfId="1" applyFont="1" applyBorder="1"/>
    <xf numFmtId="0" fontId="0" fillId="0" borderId="18" xfId="0" applyBorder="1" applyAlignment="1">
      <alignment horizontal="center"/>
    </xf>
    <xf numFmtId="9" fontId="0" fillId="0" borderId="18" xfId="0" applyNumberFormat="1" applyBorder="1"/>
    <xf numFmtId="44" fontId="0" fillId="0" borderId="18" xfId="0" applyNumberFormat="1" applyBorder="1"/>
    <xf numFmtId="44" fontId="0" fillId="0" borderId="0" xfId="1" applyFont="1" applyBorder="1"/>
    <xf numFmtId="0" fontId="0" fillId="0" borderId="21" xfId="0" applyBorder="1"/>
    <xf numFmtId="0" fontId="0" fillId="0" borderId="22" xfId="0" applyBorder="1"/>
    <xf numFmtId="44" fontId="0" fillId="0" borderId="22" xfId="1" applyFont="1" applyBorder="1"/>
    <xf numFmtId="165" fontId="0" fillId="0" borderId="18" xfId="0" applyNumberFormat="1" applyBorder="1"/>
    <xf numFmtId="165" fontId="13" fillId="0" borderId="18" xfId="0" applyNumberFormat="1" applyFont="1" applyBorder="1"/>
    <xf numFmtId="44" fontId="13" fillId="0" borderId="18" xfId="1" applyFont="1" applyBorder="1"/>
    <xf numFmtId="44" fontId="0" fillId="0" borderId="18" xfId="1" applyFont="1" applyBorder="1" applyAlignment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28" xfId="0" applyBorder="1"/>
    <xf numFmtId="165" fontId="0" fillId="0" borderId="28" xfId="0" applyNumberFormat="1" applyBorder="1"/>
    <xf numFmtId="10" fontId="0" fillId="0" borderId="0" xfId="4" applyNumberFormat="1" applyFont="1"/>
    <xf numFmtId="166" fontId="0" fillId="0" borderId="0" xfId="5" applyNumberFormat="1" applyFont="1"/>
    <xf numFmtId="166" fontId="0" fillId="0" borderId="0" xfId="0" applyNumberFormat="1"/>
    <xf numFmtId="0" fontId="0" fillId="0" borderId="2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</cellXfs>
  <cellStyles count="6">
    <cellStyle name="Hiperlink" xfId="2" builtinId="8"/>
    <cellStyle name="Moeda" xfId="1" builtinId="4"/>
    <cellStyle name="Normal" xfId="0" builtinId="0"/>
    <cellStyle name="Normal_projeções" xfId="3" xr:uid="{316018DA-1B2B-48BA-A088-FE05A241424D}"/>
    <cellStyle name="Porcentagem" xfId="4" builtinId="5"/>
    <cellStyle name="Vírgula" xfId="5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8AD779D0-C03E-4850-AB9B-991B70CFF04D}" type="doc">
      <dgm:prSet loTypeId="urn:microsoft.com/office/officeart/2008/layout/NameandTitleOrganizationalChart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pt-BR"/>
        </a:p>
      </dgm:t>
    </dgm:pt>
    <dgm:pt modelId="{42C6A959-53F7-4AEE-8140-ADFD42585592}">
      <dgm:prSet phldrT="[Texto]"/>
      <dgm:spPr/>
      <dgm:t>
        <a:bodyPr/>
        <a:lstStyle/>
        <a:p>
          <a:r>
            <a:rPr lang="pt-BR"/>
            <a:t>FAZ ENERGY   - MMN</a:t>
          </a:r>
        </a:p>
      </dgm:t>
    </dgm:pt>
    <dgm:pt modelId="{15E1175E-0E20-448A-84EB-848B970EB037}" type="parTrans" cxnId="{88449946-A84F-447F-BF80-145EE46F98F0}">
      <dgm:prSet/>
      <dgm:spPr/>
      <dgm:t>
        <a:bodyPr/>
        <a:lstStyle/>
        <a:p>
          <a:endParaRPr lang="pt-BR"/>
        </a:p>
      </dgm:t>
    </dgm:pt>
    <dgm:pt modelId="{1FCA3CDA-1F70-4C7B-94BF-4BCE83230135}" type="sibTrans" cxnId="{88449946-A84F-447F-BF80-145EE46F98F0}">
      <dgm:prSet/>
      <dgm:spPr/>
      <dgm:t>
        <a:bodyPr/>
        <a:lstStyle/>
        <a:p>
          <a:r>
            <a:rPr lang="pt-BR"/>
            <a:t>Conselho</a:t>
          </a:r>
        </a:p>
      </dgm:t>
    </dgm:pt>
    <dgm:pt modelId="{0146B0DE-76C4-4DE5-8123-188C42739F3B}" type="asst">
      <dgm:prSet phldrT="[Texto]"/>
      <dgm:spPr/>
      <dgm:t>
        <a:bodyPr/>
        <a:lstStyle/>
        <a:p>
          <a:r>
            <a:rPr lang="pt-BR"/>
            <a:t>Controler</a:t>
          </a:r>
        </a:p>
      </dgm:t>
    </dgm:pt>
    <dgm:pt modelId="{1231D102-5BA9-4B26-BBA6-BFB314EBA99C}" type="parTrans" cxnId="{292128E1-3328-4D1F-AB7F-D45E28EE1C91}">
      <dgm:prSet/>
      <dgm:spPr/>
      <dgm:t>
        <a:bodyPr/>
        <a:lstStyle/>
        <a:p>
          <a:endParaRPr lang="pt-BR"/>
        </a:p>
      </dgm:t>
    </dgm:pt>
    <dgm:pt modelId="{2588EDE7-7C60-4232-BC86-789545EBD96C}" type="sibTrans" cxnId="{292128E1-3328-4D1F-AB7F-D45E28EE1C91}">
      <dgm:prSet/>
      <dgm:spPr/>
      <dgm:t>
        <a:bodyPr/>
        <a:lstStyle/>
        <a:p>
          <a:r>
            <a:rPr lang="pt-BR"/>
            <a:t>Tiago</a:t>
          </a:r>
        </a:p>
      </dgm:t>
    </dgm:pt>
    <dgm:pt modelId="{4565346B-BEA8-4B84-9694-7219AA7809C4}">
      <dgm:prSet phldrT="[Texto]"/>
      <dgm:spPr/>
      <dgm:t>
        <a:bodyPr/>
        <a:lstStyle/>
        <a:p>
          <a:r>
            <a:rPr lang="pt-BR"/>
            <a:t>Marketing</a:t>
          </a:r>
        </a:p>
      </dgm:t>
    </dgm:pt>
    <dgm:pt modelId="{E17F4321-CB39-422A-80BB-3F1812A32C31}" type="parTrans" cxnId="{C47BF12A-A159-4023-BADB-88292033724F}">
      <dgm:prSet/>
      <dgm:spPr/>
      <dgm:t>
        <a:bodyPr/>
        <a:lstStyle/>
        <a:p>
          <a:endParaRPr lang="pt-BR"/>
        </a:p>
      </dgm:t>
    </dgm:pt>
    <dgm:pt modelId="{20E7C7A4-3B7B-4AAA-9FB1-A83D3CE5B128}" type="sibTrans" cxnId="{C47BF12A-A159-4023-BADB-88292033724F}">
      <dgm:prSet/>
      <dgm:spPr/>
      <dgm:t>
        <a:bodyPr/>
        <a:lstStyle/>
        <a:p>
          <a:r>
            <a:rPr lang="pt-BR"/>
            <a:t>Matheus</a:t>
          </a:r>
        </a:p>
      </dgm:t>
    </dgm:pt>
    <dgm:pt modelId="{53E82CDE-1B9B-4986-9A23-5C8E02BA1F1C}">
      <dgm:prSet phldrT="[Texto]"/>
      <dgm:spPr/>
      <dgm:t>
        <a:bodyPr/>
        <a:lstStyle/>
        <a:p>
          <a:r>
            <a:rPr lang="pt-BR"/>
            <a:t>T.I</a:t>
          </a:r>
        </a:p>
      </dgm:t>
    </dgm:pt>
    <dgm:pt modelId="{E4894860-D586-468B-B3B5-3F8544D42778}" type="parTrans" cxnId="{2F6B764B-924C-4E6C-82F5-EB63105C041A}">
      <dgm:prSet/>
      <dgm:spPr/>
      <dgm:t>
        <a:bodyPr/>
        <a:lstStyle/>
        <a:p>
          <a:endParaRPr lang="pt-BR"/>
        </a:p>
      </dgm:t>
    </dgm:pt>
    <dgm:pt modelId="{E114DD0C-8C8F-43C3-B168-BF7A38188F61}" type="sibTrans" cxnId="{2F6B764B-924C-4E6C-82F5-EB63105C041A}">
      <dgm:prSet/>
      <dgm:spPr/>
      <dgm:t>
        <a:bodyPr/>
        <a:lstStyle/>
        <a:p>
          <a:r>
            <a:rPr lang="pt-BR"/>
            <a:t>Aquiles</a:t>
          </a:r>
        </a:p>
      </dgm:t>
    </dgm:pt>
    <dgm:pt modelId="{FEB0965A-861E-4ED6-BC98-4AEF5B0C6320}">
      <dgm:prSet phldrT="[Texto]"/>
      <dgm:spPr/>
      <dgm:t>
        <a:bodyPr/>
        <a:lstStyle/>
        <a:p>
          <a:r>
            <a:rPr lang="pt-BR"/>
            <a:t>Comercial</a:t>
          </a:r>
        </a:p>
      </dgm:t>
    </dgm:pt>
    <dgm:pt modelId="{A985B3AD-CBB5-4C11-AF01-615050FCB5F8}" type="parTrans" cxnId="{E318537B-BBFB-42F5-9892-3D543808C78C}">
      <dgm:prSet/>
      <dgm:spPr/>
      <dgm:t>
        <a:bodyPr/>
        <a:lstStyle/>
        <a:p>
          <a:endParaRPr lang="pt-BR"/>
        </a:p>
      </dgm:t>
    </dgm:pt>
    <dgm:pt modelId="{84520292-6699-4AFC-A44C-1FEF87B8466B}" type="sibTrans" cxnId="{E318537B-BBFB-42F5-9892-3D543808C78C}">
      <dgm:prSet/>
      <dgm:spPr/>
      <dgm:t>
        <a:bodyPr/>
        <a:lstStyle/>
        <a:p>
          <a:r>
            <a:rPr lang="pt-BR"/>
            <a:t>Raphael</a:t>
          </a:r>
        </a:p>
      </dgm:t>
    </dgm:pt>
    <dgm:pt modelId="{2F83DEAC-EAB3-44E7-96FF-A2F77CBBB0D9}">
      <dgm:prSet/>
      <dgm:spPr/>
      <dgm:t>
        <a:bodyPr/>
        <a:lstStyle/>
        <a:p>
          <a:r>
            <a:rPr lang="pt-BR"/>
            <a:t>Comercial - Executivo</a:t>
          </a:r>
        </a:p>
      </dgm:t>
    </dgm:pt>
    <dgm:pt modelId="{9E2CC140-16AF-4576-A23A-CCFDDCB0EF21}" type="parTrans" cxnId="{0D998D92-713A-498D-9DF0-555BD73E9EE7}">
      <dgm:prSet/>
      <dgm:spPr/>
      <dgm:t>
        <a:bodyPr/>
        <a:lstStyle/>
        <a:p>
          <a:endParaRPr lang="pt-BR"/>
        </a:p>
      </dgm:t>
    </dgm:pt>
    <dgm:pt modelId="{0FE17D39-9AC2-42C3-8817-85D7A16CE17E}" type="sibTrans" cxnId="{0D998D92-713A-498D-9DF0-555BD73E9EE7}">
      <dgm:prSet/>
      <dgm:spPr/>
      <dgm:t>
        <a:bodyPr/>
        <a:lstStyle/>
        <a:p>
          <a:r>
            <a:rPr lang="pt-BR"/>
            <a:t>Tyson</a:t>
          </a:r>
        </a:p>
      </dgm:t>
    </dgm:pt>
    <dgm:pt modelId="{9E264E9F-18F8-49B6-9A67-338504B6B99E}">
      <dgm:prSet/>
      <dgm:spPr/>
      <dgm:t>
        <a:bodyPr/>
        <a:lstStyle/>
        <a:p>
          <a:r>
            <a:rPr lang="pt-BR"/>
            <a:t>GENTE E GESTÃO</a:t>
          </a:r>
        </a:p>
      </dgm:t>
    </dgm:pt>
    <dgm:pt modelId="{9501AABB-B55E-488A-B0B0-5DCCA4AEBDFB}" type="parTrans" cxnId="{AB19A448-BDCD-4C68-9E99-BA5EE1074F6D}">
      <dgm:prSet/>
      <dgm:spPr/>
      <dgm:t>
        <a:bodyPr/>
        <a:lstStyle/>
        <a:p>
          <a:endParaRPr lang="pt-BR"/>
        </a:p>
      </dgm:t>
    </dgm:pt>
    <dgm:pt modelId="{E12A66F2-9F54-46D6-8483-1760EE1A278D}" type="sibTrans" cxnId="{AB19A448-BDCD-4C68-9E99-BA5EE1074F6D}">
      <dgm:prSet/>
      <dgm:spPr/>
      <dgm:t>
        <a:bodyPr/>
        <a:lstStyle/>
        <a:p>
          <a:endParaRPr lang="pt-BR"/>
        </a:p>
      </dgm:t>
    </dgm:pt>
    <dgm:pt modelId="{E2843405-768E-4C87-9899-B3964E00774C}">
      <dgm:prSet/>
      <dgm:spPr/>
      <dgm:t>
        <a:bodyPr/>
        <a:lstStyle/>
        <a:p>
          <a:r>
            <a:rPr lang="pt-BR"/>
            <a:t>FINANCEIRO</a:t>
          </a:r>
        </a:p>
      </dgm:t>
    </dgm:pt>
    <dgm:pt modelId="{510CFD16-6FF7-41EC-8AF0-55623532A344}" type="parTrans" cxnId="{DB056D34-AFC1-418F-8012-6B86813FE701}">
      <dgm:prSet/>
      <dgm:spPr/>
      <dgm:t>
        <a:bodyPr/>
        <a:lstStyle/>
        <a:p>
          <a:endParaRPr lang="pt-BR"/>
        </a:p>
      </dgm:t>
    </dgm:pt>
    <dgm:pt modelId="{A09538CE-38BD-4961-A46D-D2C01AA3921C}" type="sibTrans" cxnId="{DB056D34-AFC1-418F-8012-6B86813FE701}">
      <dgm:prSet/>
      <dgm:spPr/>
      <dgm:t>
        <a:bodyPr/>
        <a:lstStyle/>
        <a:p>
          <a:endParaRPr lang="pt-BR"/>
        </a:p>
      </dgm:t>
    </dgm:pt>
    <dgm:pt modelId="{FCE404EA-E77D-4826-A0C5-F5DC5854DA80}" type="pres">
      <dgm:prSet presAssocID="{8AD779D0-C03E-4850-AB9B-991B70CFF04D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A832869C-5FA7-4DFC-97CA-9DA13EE4A652}" type="pres">
      <dgm:prSet presAssocID="{42C6A959-53F7-4AEE-8140-ADFD42585592}" presName="hierRoot1" presStyleCnt="0">
        <dgm:presLayoutVars>
          <dgm:hierBranch val="init"/>
        </dgm:presLayoutVars>
      </dgm:prSet>
      <dgm:spPr/>
    </dgm:pt>
    <dgm:pt modelId="{47F9C191-EBFB-4176-9468-8168016659AA}" type="pres">
      <dgm:prSet presAssocID="{42C6A959-53F7-4AEE-8140-ADFD42585592}" presName="rootComposite1" presStyleCnt="0"/>
      <dgm:spPr/>
    </dgm:pt>
    <dgm:pt modelId="{17DDBB36-F6DA-43EC-8F78-E6528F13DF46}" type="pres">
      <dgm:prSet presAssocID="{42C6A959-53F7-4AEE-8140-ADFD42585592}" presName="rootText1" presStyleLbl="node0" presStyleIdx="0" presStyleCnt="1" custScaleY="74365">
        <dgm:presLayoutVars>
          <dgm:chMax/>
          <dgm:chPref val="3"/>
        </dgm:presLayoutVars>
      </dgm:prSet>
      <dgm:spPr/>
    </dgm:pt>
    <dgm:pt modelId="{4972E6BF-F012-4BC0-A7AA-56DEC555A327}" type="pres">
      <dgm:prSet presAssocID="{42C6A959-53F7-4AEE-8140-ADFD42585592}" presName="titleText1" presStyleLbl="fgAcc0" presStyleIdx="0" presStyleCnt="1" custFlipHor="1" custScaleX="102921" custScaleY="152010" custLinFactNeighborX="-16349" custLinFactNeighborY="50041">
        <dgm:presLayoutVars>
          <dgm:chMax val="0"/>
          <dgm:chPref val="0"/>
        </dgm:presLayoutVars>
      </dgm:prSet>
      <dgm:spPr/>
    </dgm:pt>
    <dgm:pt modelId="{1C0D17A9-382D-4957-B2DE-244D804E8500}" type="pres">
      <dgm:prSet presAssocID="{42C6A959-53F7-4AEE-8140-ADFD42585592}" presName="rootConnector1" presStyleLbl="node1" presStyleIdx="0" presStyleCnt="6"/>
      <dgm:spPr/>
    </dgm:pt>
    <dgm:pt modelId="{BDDD6E09-25CD-413E-9AEE-07C10B4423B0}" type="pres">
      <dgm:prSet presAssocID="{42C6A959-53F7-4AEE-8140-ADFD42585592}" presName="hierChild2" presStyleCnt="0"/>
      <dgm:spPr/>
    </dgm:pt>
    <dgm:pt modelId="{228122B2-74E5-455A-84A7-D21A93346270}" type="pres">
      <dgm:prSet presAssocID="{510CFD16-6FF7-41EC-8AF0-55623532A344}" presName="Name37" presStyleLbl="parChTrans1D2" presStyleIdx="0" presStyleCnt="6"/>
      <dgm:spPr/>
    </dgm:pt>
    <dgm:pt modelId="{B0BDEA29-668F-44D5-BE9E-4BFEB2482CD8}" type="pres">
      <dgm:prSet presAssocID="{E2843405-768E-4C87-9899-B3964E00774C}" presName="hierRoot2" presStyleCnt="0">
        <dgm:presLayoutVars>
          <dgm:hierBranch val="init"/>
        </dgm:presLayoutVars>
      </dgm:prSet>
      <dgm:spPr/>
    </dgm:pt>
    <dgm:pt modelId="{75232EE1-9C3B-49B7-B449-9BDDAD8F59EE}" type="pres">
      <dgm:prSet presAssocID="{E2843405-768E-4C87-9899-B3964E00774C}" presName="rootComposite" presStyleCnt="0"/>
      <dgm:spPr/>
    </dgm:pt>
    <dgm:pt modelId="{820B73E8-7E2F-478E-A3C8-9087379CE2EB}" type="pres">
      <dgm:prSet presAssocID="{E2843405-768E-4C87-9899-B3964E00774C}" presName="rootText" presStyleLbl="node1" presStyleIdx="0" presStyleCnt="6">
        <dgm:presLayoutVars>
          <dgm:chMax/>
          <dgm:chPref val="3"/>
        </dgm:presLayoutVars>
      </dgm:prSet>
      <dgm:spPr/>
    </dgm:pt>
    <dgm:pt modelId="{998206A8-F70D-476A-9481-8F13BF90A184}" type="pres">
      <dgm:prSet presAssocID="{E2843405-768E-4C87-9899-B3964E00774C}" presName="titleText2" presStyleLbl="fgAcc1" presStyleIdx="0" presStyleCnt="6">
        <dgm:presLayoutVars>
          <dgm:chMax val="0"/>
          <dgm:chPref val="0"/>
        </dgm:presLayoutVars>
      </dgm:prSet>
      <dgm:spPr/>
    </dgm:pt>
    <dgm:pt modelId="{A1DCAFF7-EB32-439A-AE93-63492735A30F}" type="pres">
      <dgm:prSet presAssocID="{E2843405-768E-4C87-9899-B3964E00774C}" presName="rootConnector" presStyleLbl="node2" presStyleIdx="0" presStyleCnt="0"/>
      <dgm:spPr/>
    </dgm:pt>
    <dgm:pt modelId="{D9B0CE4A-4702-413E-A88F-1F5A995E2E0B}" type="pres">
      <dgm:prSet presAssocID="{E2843405-768E-4C87-9899-B3964E00774C}" presName="hierChild4" presStyleCnt="0"/>
      <dgm:spPr/>
    </dgm:pt>
    <dgm:pt modelId="{CDBE4128-CB49-418C-9DF1-E949D892A83A}" type="pres">
      <dgm:prSet presAssocID="{E2843405-768E-4C87-9899-B3964E00774C}" presName="hierChild5" presStyleCnt="0"/>
      <dgm:spPr/>
    </dgm:pt>
    <dgm:pt modelId="{A8444A67-7BA8-425A-97A5-C9B0B0A56F38}" type="pres">
      <dgm:prSet presAssocID="{9501AABB-B55E-488A-B0B0-5DCCA4AEBDFB}" presName="Name37" presStyleLbl="parChTrans1D2" presStyleIdx="1" presStyleCnt="6"/>
      <dgm:spPr/>
    </dgm:pt>
    <dgm:pt modelId="{43120369-2D93-4C65-B711-FA96E68730E6}" type="pres">
      <dgm:prSet presAssocID="{9E264E9F-18F8-49B6-9A67-338504B6B99E}" presName="hierRoot2" presStyleCnt="0">
        <dgm:presLayoutVars>
          <dgm:hierBranch val="init"/>
        </dgm:presLayoutVars>
      </dgm:prSet>
      <dgm:spPr/>
    </dgm:pt>
    <dgm:pt modelId="{6AD858A7-7843-467C-A93F-7E0297DAE03D}" type="pres">
      <dgm:prSet presAssocID="{9E264E9F-18F8-49B6-9A67-338504B6B99E}" presName="rootComposite" presStyleCnt="0"/>
      <dgm:spPr/>
    </dgm:pt>
    <dgm:pt modelId="{85B51711-A503-4CBE-B791-D1F13D997FC2}" type="pres">
      <dgm:prSet presAssocID="{9E264E9F-18F8-49B6-9A67-338504B6B99E}" presName="rootText" presStyleLbl="node1" presStyleIdx="1" presStyleCnt="6">
        <dgm:presLayoutVars>
          <dgm:chMax/>
          <dgm:chPref val="3"/>
        </dgm:presLayoutVars>
      </dgm:prSet>
      <dgm:spPr/>
    </dgm:pt>
    <dgm:pt modelId="{041DA2F2-726F-4D37-9144-B80401C41643}" type="pres">
      <dgm:prSet presAssocID="{9E264E9F-18F8-49B6-9A67-338504B6B99E}" presName="titleText2" presStyleLbl="fgAcc1" presStyleIdx="1" presStyleCnt="6">
        <dgm:presLayoutVars>
          <dgm:chMax val="0"/>
          <dgm:chPref val="0"/>
        </dgm:presLayoutVars>
      </dgm:prSet>
      <dgm:spPr/>
    </dgm:pt>
    <dgm:pt modelId="{C9E2F585-BB27-4C12-84F2-9C9CFFC9712C}" type="pres">
      <dgm:prSet presAssocID="{9E264E9F-18F8-49B6-9A67-338504B6B99E}" presName="rootConnector" presStyleLbl="node2" presStyleIdx="0" presStyleCnt="0"/>
      <dgm:spPr/>
    </dgm:pt>
    <dgm:pt modelId="{6493FDF3-E16A-42B1-8937-640B10E7FFB8}" type="pres">
      <dgm:prSet presAssocID="{9E264E9F-18F8-49B6-9A67-338504B6B99E}" presName="hierChild4" presStyleCnt="0"/>
      <dgm:spPr/>
    </dgm:pt>
    <dgm:pt modelId="{81B6B9F1-FB29-45AE-8279-7803ED24ABAB}" type="pres">
      <dgm:prSet presAssocID="{9E264E9F-18F8-49B6-9A67-338504B6B99E}" presName="hierChild5" presStyleCnt="0"/>
      <dgm:spPr/>
    </dgm:pt>
    <dgm:pt modelId="{AF501036-1E47-424A-B801-12819058427C}" type="pres">
      <dgm:prSet presAssocID="{E17F4321-CB39-422A-80BB-3F1812A32C31}" presName="Name37" presStyleLbl="parChTrans1D2" presStyleIdx="2" presStyleCnt="6"/>
      <dgm:spPr/>
    </dgm:pt>
    <dgm:pt modelId="{E0314A08-9605-4772-A37A-0A07E0ACE782}" type="pres">
      <dgm:prSet presAssocID="{4565346B-BEA8-4B84-9694-7219AA7809C4}" presName="hierRoot2" presStyleCnt="0">
        <dgm:presLayoutVars>
          <dgm:hierBranch val="init"/>
        </dgm:presLayoutVars>
      </dgm:prSet>
      <dgm:spPr/>
    </dgm:pt>
    <dgm:pt modelId="{40484B2D-0473-4DEC-AD5C-1A3892D5DF6F}" type="pres">
      <dgm:prSet presAssocID="{4565346B-BEA8-4B84-9694-7219AA7809C4}" presName="rootComposite" presStyleCnt="0"/>
      <dgm:spPr/>
    </dgm:pt>
    <dgm:pt modelId="{7D0F215D-CFD1-417D-A0D7-900FC5F64CF0}" type="pres">
      <dgm:prSet presAssocID="{4565346B-BEA8-4B84-9694-7219AA7809C4}" presName="rootText" presStyleLbl="node1" presStyleIdx="2" presStyleCnt="6">
        <dgm:presLayoutVars>
          <dgm:chMax/>
          <dgm:chPref val="3"/>
        </dgm:presLayoutVars>
      </dgm:prSet>
      <dgm:spPr/>
    </dgm:pt>
    <dgm:pt modelId="{BD1D03C9-B43E-48F4-B40E-39653A2C5A58}" type="pres">
      <dgm:prSet presAssocID="{4565346B-BEA8-4B84-9694-7219AA7809C4}" presName="titleText2" presStyleLbl="fgAcc1" presStyleIdx="2" presStyleCnt="6">
        <dgm:presLayoutVars>
          <dgm:chMax val="0"/>
          <dgm:chPref val="0"/>
        </dgm:presLayoutVars>
      </dgm:prSet>
      <dgm:spPr/>
    </dgm:pt>
    <dgm:pt modelId="{3F587A48-6596-44A8-A0CA-18EC546D8265}" type="pres">
      <dgm:prSet presAssocID="{4565346B-BEA8-4B84-9694-7219AA7809C4}" presName="rootConnector" presStyleLbl="node2" presStyleIdx="0" presStyleCnt="0"/>
      <dgm:spPr/>
    </dgm:pt>
    <dgm:pt modelId="{C2837FB0-073C-4570-B99E-8D7EF64C6E7D}" type="pres">
      <dgm:prSet presAssocID="{4565346B-BEA8-4B84-9694-7219AA7809C4}" presName="hierChild4" presStyleCnt="0"/>
      <dgm:spPr/>
    </dgm:pt>
    <dgm:pt modelId="{AB33922A-FC33-4B12-B136-D2B00E1DD323}" type="pres">
      <dgm:prSet presAssocID="{4565346B-BEA8-4B84-9694-7219AA7809C4}" presName="hierChild5" presStyleCnt="0"/>
      <dgm:spPr/>
    </dgm:pt>
    <dgm:pt modelId="{307CED5D-829E-4033-AF53-E824DBA6817E}" type="pres">
      <dgm:prSet presAssocID="{E4894860-D586-468B-B3B5-3F8544D42778}" presName="Name37" presStyleLbl="parChTrans1D2" presStyleIdx="3" presStyleCnt="6"/>
      <dgm:spPr/>
    </dgm:pt>
    <dgm:pt modelId="{F9126045-2B3A-4A08-B0C8-1D73D4B72E5F}" type="pres">
      <dgm:prSet presAssocID="{53E82CDE-1B9B-4986-9A23-5C8E02BA1F1C}" presName="hierRoot2" presStyleCnt="0">
        <dgm:presLayoutVars>
          <dgm:hierBranch val="init"/>
        </dgm:presLayoutVars>
      </dgm:prSet>
      <dgm:spPr/>
    </dgm:pt>
    <dgm:pt modelId="{2137A347-90F1-4049-B372-CC2B83124CD0}" type="pres">
      <dgm:prSet presAssocID="{53E82CDE-1B9B-4986-9A23-5C8E02BA1F1C}" presName="rootComposite" presStyleCnt="0"/>
      <dgm:spPr/>
    </dgm:pt>
    <dgm:pt modelId="{D283A4F8-A92B-4D48-8654-9BE2CC91AE14}" type="pres">
      <dgm:prSet presAssocID="{53E82CDE-1B9B-4986-9A23-5C8E02BA1F1C}" presName="rootText" presStyleLbl="node1" presStyleIdx="3" presStyleCnt="6">
        <dgm:presLayoutVars>
          <dgm:chMax/>
          <dgm:chPref val="3"/>
        </dgm:presLayoutVars>
      </dgm:prSet>
      <dgm:spPr/>
    </dgm:pt>
    <dgm:pt modelId="{01E0E14C-31BC-4E17-918B-D3545CBAA247}" type="pres">
      <dgm:prSet presAssocID="{53E82CDE-1B9B-4986-9A23-5C8E02BA1F1C}" presName="titleText2" presStyleLbl="fgAcc1" presStyleIdx="3" presStyleCnt="6">
        <dgm:presLayoutVars>
          <dgm:chMax val="0"/>
          <dgm:chPref val="0"/>
        </dgm:presLayoutVars>
      </dgm:prSet>
      <dgm:spPr/>
    </dgm:pt>
    <dgm:pt modelId="{F7B29E33-702F-429F-B479-2C00DCD42CF5}" type="pres">
      <dgm:prSet presAssocID="{53E82CDE-1B9B-4986-9A23-5C8E02BA1F1C}" presName="rootConnector" presStyleLbl="node2" presStyleIdx="0" presStyleCnt="0"/>
      <dgm:spPr/>
    </dgm:pt>
    <dgm:pt modelId="{0ACA2E65-7372-4B6A-91BE-CD7938196FA5}" type="pres">
      <dgm:prSet presAssocID="{53E82CDE-1B9B-4986-9A23-5C8E02BA1F1C}" presName="hierChild4" presStyleCnt="0"/>
      <dgm:spPr/>
    </dgm:pt>
    <dgm:pt modelId="{B8ABB4A1-9E01-4316-B818-5ED7E48631A5}" type="pres">
      <dgm:prSet presAssocID="{53E82CDE-1B9B-4986-9A23-5C8E02BA1F1C}" presName="hierChild5" presStyleCnt="0"/>
      <dgm:spPr/>
    </dgm:pt>
    <dgm:pt modelId="{17ADA4D7-A63C-4B3B-A645-5D7FA2C632EA}" type="pres">
      <dgm:prSet presAssocID="{A985B3AD-CBB5-4C11-AF01-615050FCB5F8}" presName="Name37" presStyleLbl="parChTrans1D2" presStyleIdx="4" presStyleCnt="6"/>
      <dgm:spPr/>
    </dgm:pt>
    <dgm:pt modelId="{D72D2FD6-B5AE-42B6-A83E-3BD3BDF59B84}" type="pres">
      <dgm:prSet presAssocID="{FEB0965A-861E-4ED6-BC98-4AEF5B0C6320}" presName="hierRoot2" presStyleCnt="0">
        <dgm:presLayoutVars>
          <dgm:hierBranch val="init"/>
        </dgm:presLayoutVars>
      </dgm:prSet>
      <dgm:spPr/>
    </dgm:pt>
    <dgm:pt modelId="{F586C188-AE94-4321-880F-2CF446D97B4E}" type="pres">
      <dgm:prSet presAssocID="{FEB0965A-861E-4ED6-BC98-4AEF5B0C6320}" presName="rootComposite" presStyleCnt="0"/>
      <dgm:spPr/>
    </dgm:pt>
    <dgm:pt modelId="{1374532A-B366-4134-927A-5BF5AA20F6F3}" type="pres">
      <dgm:prSet presAssocID="{FEB0965A-861E-4ED6-BC98-4AEF5B0C6320}" presName="rootText" presStyleLbl="node1" presStyleIdx="4" presStyleCnt="6">
        <dgm:presLayoutVars>
          <dgm:chMax/>
          <dgm:chPref val="3"/>
        </dgm:presLayoutVars>
      </dgm:prSet>
      <dgm:spPr/>
    </dgm:pt>
    <dgm:pt modelId="{0B08F1BD-12DF-4296-8034-0605D72EBBDE}" type="pres">
      <dgm:prSet presAssocID="{FEB0965A-861E-4ED6-BC98-4AEF5B0C6320}" presName="titleText2" presStyleLbl="fgAcc1" presStyleIdx="4" presStyleCnt="6">
        <dgm:presLayoutVars>
          <dgm:chMax val="0"/>
          <dgm:chPref val="0"/>
        </dgm:presLayoutVars>
      </dgm:prSet>
      <dgm:spPr/>
    </dgm:pt>
    <dgm:pt modelId="{92E8E952-CCA4-4A4B-8143-DB91F66B22FE}" type="pres">
      <dgm:prSet presAssocID="{FEB0965A-861E-4ED6-BC98-4AEF5B0C6320}" presName="rootConnector" presStyleLbl="node2" presStyleIdx="0" presStyleCnt="0"/>
      <dgm:spPr/>
    </dgm:pt>
    <dgm:pt modelId="{90E3913A-A9AB-4256-8468-489F953B0265}" type="pres">
      <dgm:prSet presAssocID="{FEB0965A-861E-4ED6-BC98-4AEF5B0C6320}" presName="hierChild4" presStyleCnt="0"/>
      <dgm:spPr/>
    </dgm:pt>
    <dgm:pt modelId="{8729AAD3-2DCC-4A5E-BC3E-2BA2465AC349}" type="pres">
      <dgm:prSet presAssocID="{9E2CC140-16AF-4576-A23A-CCFDDCB0EF21}" presName="Name37" presStyleLbl="parChTrans1D3" presStyleIdx="0" presStyleCnt="1"/>
      <dgm:spPr/>
    </dgm:pt>
    <dgm:pt modelId="{CABBE9C3-147F-413A-955D-616D1C3F9685}" type="pres">
      <dgm:prSet presAssocID="{2F83DEAC-EAB3-44E7-96FF-A2F77CBBB0D9}" presName="hierRoot2" presStyleCnt="0">
        <dgm:presLayoutVars>
          <dgm:hierBranch val="init"/>
        </dgm:presLayoutVars>
      </dgm:prSet>
      <dgm:spPr/>
    </dgm:pt>
    <dgm:pt modelId="{71DBEBE3-B48F-4420-A72E-6BB36057D7E2}" type="pres">
      <dgm:prSet presAssocID="{2F83DEAC-EAB3-44E7-96FF-A2F77CBBB0D9}" presName="rootComposite" presStyleCnt="0"/>
      <dgm:spPr/>
    </dgm:pt>
    <dgm:pt modelId="{39EA3EF0-79FD-4114-82BA-C4CE4BBBD0B9}" type="pres">
      <dgm:prSet presAssocID="{2F83DEAC-EAB3-44E7-96FF-A2F77CBBB0D9}" presName="rootText" presStyleLbl="node1" presStyleIdx="5" presStyleCnt="6">
        <dgm:presLayoutVars>
          <dgm:chMax/>
          <dgm:chPref val="3"/>
        </dgm:presLayoutVars>
      </dgm:prSet>
      <dgm:spPr/>
    </dgm:pt>
    <dgm:pt modelId="{0EEBD12B-2D08-4308-BC85-00C3C8F12673}" type="pres">
      <dgm:prSet presAssocID="{2F83DEAC-EAB3-44E7-96FF-A2F77CBBB0D9}" presName="titleText2" presStyleLbl="fgAcc1" presStyleIdx="5" presStyleCnt="6">
        <dgm:presLayoutVars>
          <dgm:chMax val="0"/>
          <dgm:chPref val="0"/>
        </dgm:presLayoutVars>
      </dgm:prSet>
      <dgm:spPr/>
    </dgm:pt>
    <dgm:pt modelId="{AAD53A13-1D73-4B56-BE34-F9FA60F23F68}" type="pres">
      <dgm:prSet presAssocID="{2F83DEAC-EAB3-44E7-96FF-A2F77CBBB0D9}" presName="rootConnector" presStyleLbl="node3" presStyleIdx="0" presStyleCnt="0"/>
      <dgm:spPr/>
    </dgm:pt>
    <dgm:pt modelId="{7AF96974-0B41-4B69-A30C-95254178EAE3}" type="pres">
      <dgm:prSet presAssocID="{2F83DEAC-EAB3-44E7-96FF-A2F77CBBB0D9}" presName="hierChild4" presStyleCnt="0"/>
      <dgm:spPr/>
    </dgm:pt>
    <dgm:pt modelId="{F19EAC1E-CC92-4931-BE4D-052F8339D45F}" type="pres">
      <dgm:prSet presAssocID="{2F83DEAC-EAB3-44E7-96FF-A2F77CBBB0D9}" presName="hierChild5" presStyleCnt="0"/>
      <dgm:spPr/>
    </dgm:pt>
    <dgm:pt modelId="{85C3F435-B60D-4243-B16E-4BDC8D6D22D9}" type="pres">
      <dgm:prSet presAssocID="{FEB0965A-861E-4ED6-BC98-4AEF5B0C6320}" presName="hierChild5" presStyleCnt="0"/>
      <dgm:spPr/>
    </dgm:pt>
    <dgm:pt modelId="{129222C3-DA1A-4B26-9C48-EAAE8E7BE6ED}" type="pres">
      <dgm:prSet presAssocID="{42C6A959-53F7-4AEE-8140-ADFD42585592}" presName="hierChild3" presStyleCnt="0"/>
      <dgm:spPr/>
    </dgm:pt>
    <dgm:pt modelId="{91A519BD-4E34-4226-B93C-B3CEC45AEAA9}" type="pres">
      <dgm:prSet presAssocID="{1231D102-5BA9-4B26-BBA6-BFB314EBA99C}" presName="Name96" presStyleLbl="parChTrans1D2" presStyleIdx="5" presStyleCnt="6"/>
      <dgm:spPr/>
    </dgm:pt>
    <dgm:pt modelId="{F2383B00-F16F-4C32-B0D4-5FA605F41034}" type="pres">
      <dgm:prSet presAssocID="{0146B0DE-76C4-4DE5-8123-188C42739F3B}" presName="hierRoot3" presStyleCnt="0">
        <dgm:presLayoutVars>
          <dgm:hierBranch val="init"/>
        </dgm:presLayoutVars>
      </dgm:prSet>
      <dgm:spPr/>
    </dgm:pt>
    <dgm:pt modelId="{3E299AFA-80DD-4F59-A48B-F234BDB23DBE}" type="pres">
      <dgm:prSet presAssocID="{0146B0DE-76C4-4DE5-8123-188C42739F3B}" presName="rootComposite3" presStyleCnt="0"/>
      <dgm:spPr/>
    </dgm:pt>
    <dgm:pt modelId="{4E66D26E-2168-402B-90A5-9613121220FF}" type="pres">
      <dgm:prSet presAssocID="{0146B0DE-76C4-4DE5-8123-188C42739F3B}" presName="rootText3" presStyleLbl="asst1" presStyleIdx="0" presStyleCnt="1">
        <dgm:presLayoutVars>
          <dgm:chPref val="3"/>
        </dgm:presLayoutVars>
      </dgm:prSet>
      <dgm:spPr/>
    </dgm:pt>
    <dgm:pt modelId="{BF9E59A3-51A7-4489-898A-26278D050A23}" type="pres">
      <dgm:prSet presAssocID="{0146B0DE-76C4-4DE5-8123-188C42739F3B}" presName="titleText3" presStyleLbl="fgAcc2" presStyleIdx="0" presStyleCnt="1">
        <dgm:presLayoutVars>
          <dgm:chMax val="0"/>
          <dgm:chPref val="0"/>
        </dgm:presLayoutVars>
      </dgm:prSet>
      <dgm:spPr/>
    </dgm:pt>
    <dgm:pt modelId="{3C3899B2-39B0-45EC-862E-BDF5A517B163}" type="pres">
      <dgm:prSet presAssocID="{0146B0DE-76C4-4DE5-8123-188C42739F3B}" presName="rootConnector3" presStyleLbl="asst1" presStyleIdx="0" presStyleCnt="1"/>
      <dgm:spPr/>
    </dgm:pt>
    <dgm:pt modelId="{BB2BE149-B19C-4DDF-B997-F87C3F53358C}" type="pres">
      <dgm:prSet presAssocID="{0146B0DE-76C4-4DE5-8123-188C42739F3B}" presName="hierChild6" presStyleCnt="0"/>
      <dgm:spPr/>
    </dgm:pt>
    <dgm:pt modelId="{7C1B9E45-35DD-4D80-9458-08140391564B}" type="pres">
      <dgm:prSet presAssocID="{0146B0DE-76C4-4DE5-8123-188C42739F3B}" presName="hierChild7" presStyleCnt="0"/>
      <dgm:spPr/>
    </dgm:pt>
  </dgm:ptLst>
  <dgm:cxnLst>
    <dgm:cxn modelId="{BAC5EE00-21D8-4064-BB4E-EE187AD52060}" type="presOf" srcId="{20E7C7A4-3B7B-4AAA-9FB1-A83D3CE5B128}" destId="{BD1D03C9-B43E-48F4-B40E-39653A2C5A58}" srcOrd="0" destOrd="0" presId="urn:microsoft.com/office/officeart/2008/layout/NameandTitleOrganizationalChart"/>
    <dgm:cxn modelId="{2AA61403-CBF8-4A35-987A-F283B151430E}" type="presOf" srcId="{9E264E9F-18F8-49B6-9A67-338504B6B99E}" destId="{C9E2F585-BB27-4C12-84F2-9C9CFFC9712C}" srcOrd="1" destOrd="0" presId="urn:microsoft.com/office/officeart/2008/layout/NameandTitleOrganizationalChart"/>
    <dgm:cxn modelId="{D20E3205-1124-430B-A483-50F977433E48}" type="presOf" srcId="{FEB0965A-861E-4ED6-BC98-4AEF5B0C6320}" destId="{92E8E952-CCA4-4A4B-8143-DB91F66B22FE}" srcOrd="1" destOrd="0" presId="urn:microsoft.com/office/officeart/2008/layout/NameandTitleOrganizationalChart"/>
    <dgm:cxn modelId="{3A63EC1D-6AF8-448D-81E7-CFB9FE9D6999}" type="presOf" srcId="{4565346B-BEA8-4B84-9694-7219AA7809C4}" destId="{7D0F215D-CFD1-417D-A0D7-900FC5F64CF0}" srcOrd="0" destOrd="0" presId="urn:microsoft.com/office/officeart/2008/layout/NameandTitleOrganizationalChart"/>
    <dgm:cxn modelId="{ACFD4223-8454-49C2-8561-581E5F9DC2F5}" type="presOf" srcId="{4565346B-BEA8-4B84-9694-7219AA7809C4}" destId="{3F587A48-6596-44A8-A0CA-18EC546D8265}" srcOrd="1" destOrd="0" presId="urn:microsoft.com/office/officeart/2008/layout/NameandTitleOrganizationalChart"/>
    <dgm:cxn modelId="{C47BF12A-A159-4023-BADB-88292033724F}" srcId="{42C6A959-53F7-4AEE-8140-ADFD42585592}" destId="{4565346B-BEA8-4B84-9694-7219AA7809C4}" srcOrd="3" destOrd="0" parTransId="{E17F4321-CB39-422A-80BB-3F1812A32C31}" sibTransId="{20E7C7A4-3B7B-4AAA-9FB1-A83D3CE5B128}"/>
    <dgm:cxn modelId="{4BDABB33-834D-478F-A042-740C0FC669BF}" type="presOf" srcId="{E4894860-D586-468B-B3B5-3F8544D42778}" destId="{307CED5D-829E-4033-AF53-E824DBA6817E}" srcOrd="0" destOrd="0" presId="urn:microsoft.com/office/officeart/2008/layout/NameandTitleOrganizationalChart"/>
    <dgm:cxn modelId="{0FE8D133-F1BD-4DDF-840E-10297D77A819}" type="presOf" srcId="{9E2CC140-16AF-4576-A23A-CCFDDCB0EF21}" destId="{8729AAD3-2DCC-4A5E-BC3E-2BA2465AC349}" srcOrd="0" destOrd="0" presId="urn:microsoft.com/office/officeart/2008/layout/NameandTitleOrganizationalChart"/>
    <dgm:cxn modelId="{DB056D34-AFC1-418F-8012-6B86813FE701}" srcId="{42C6A959-53F7-4AEE-8140-ADFD42585592}" destId="{E2843405-768E-4C87-9899-B3964E00774C}" srcOrd="1" destOrd="0" parTransId="{510CFD16-6FF7-41EC-8AF0-55623532A344}" sibTransId="{A09538CE-38BD-4961-A46D-D2C01AA3921C}"/>
    <dgm:cxn modelId="{8BCC9A39-6FF5-40DF-A530-16D1D31C47BD}" type="presOf" srcId="{E2843405-768E-4C87-9899-B3964E00774C}" destId="{A1DCAFF7-EB32-439A-AE93-63492735A30F}" srcOrd="1" destOrd="0" presId="urn:microsoft.com/office/officeart/2008/layout/NameandTitleOrganizationalChart"/>
    <dgm:cxn modelId="{CDC1C265-46B2-4C59-951F-CAB5014EAEAC}" type="presOf" srcId="{E2843405-768E-4C87-9899-B3964E00774C}" destId="{820B73E8-7E2F-478E-A3C8-9087379CE2EB}" srcOrd="0" destOrd="0" presId="urn:microsoft.com/office/officeart/2008/layout/NameandTitleOrganizationalChart"/>
    <dgm:cxn modelId="{88449946-A84F-447F-BF80-145EE46F98F0}" srcId="{8AD779D0-C03E-4850-AB9B-991B70CFF04D}" destId="{42C6A959-53F7-4AEE-8140-ADFD42585592}" srcOrd="0" destOrd="0" parTransId="{15E1175E-0E20-448A-84EB-848B970EB037}" sibTransId="{1FCA3CDA-1F70-4C7B-94BF-4BCE83230135}"/>
    <dgm:cxn modelId="{AB19A448-BDCD-4C68-9E99-BA5EE1074F6D}" srcId="{42C6A959-53F7-4AEE-8140-ADFD42585592}" destId="{9E264E9F-18F8-49B6-9A67-338504B6B99E}" srcOrd="2" destOrd="0" parTransId="{9501AABB-B55E-488A-B0B0-5DCCA4AEBDFB}" sibTransId="{E12A66F2-9F54-46D6-8483-1760EE1A278D}"/>
    <dgm:cxn modelId="{67C5B148-5A54-4777-9102-A78C1A72AB2B}" type="presOf" srcId="{A985B3AD-CBB5-4C11-AF01-615050FCB5F8}" destId="{17ADA4D7-A63C-4B3B-A645-5D7FA2C632EA}" srcOrd="0" destOrd="0" presId="urn:microsoft.com/office/officeart/2008/layout/NameandTitleOrganizationalChart"/>
    <dgm:cxn modelId="{2F6B764B-924C-4E6C-82F5-EB63105C041A}" srcId="{42C6A959-53F7-4AEE-8140-ADFD42585592}" destId="{53E82CDE-1B9B-4986-9A23-5C8E02BA1F1C}" srcOrd="4" destOrd="0" parTransId="{E4894860-D586-468B-B3B5-3F8544D42778}" sibTransId="{E114DD0C-8C8F-43C3-B168-BF7A38188F61}"/>
    <dgm:cxn modelId="{7231604C-B3FB-4AA5-8DAD-E0A1CC4BA082}" type="presOf" srcId="{1FCA3CDA-1F70-4C7B-94BF-4BCE83230135}" destId="{4972E6BF-F012-4BC0-A7AA-56DEC555A327}" srcOrd="0" destOrd="0" presId="urn:microsoft.com/office/officeart/2008/layout/NameandTitleOrganizationalChart"/>
    <dgm:cxn modelId="{8ED4F56C-B036-4B42-BDDC-4D2D8E1A0D75}" type="presOf" srcId="{2F83DEAC-EAB3-44E7-96FF-A2F77CBBB0D9}" destId="{39EA3EF0-79FD-4114-82BA-C4CE4BBBD0B9}" srcOrd="0" destOrd="0" presId="urn:microsoft.com/office/officeart/2008/layout/NameandTitleOrganizationalChart"/>
    <dgm:cxn modelId="{8A07196D-A983-418F-B0A2-4FC7B4D9F146}" type="presOf" srcId="{E12A66F2-9F54-46D6-8483-1760EE1A278D}" destId="{041DA2F2-726F-4D37-9144-B80401C41643}" srcOrd="0" destOrd="0" presId="urn:microsoft.com/office/officeart/2008/layout/NameandTitleOrganizationalChart"/>
    <dgm:cxn modelId="{32D5D24E-CDB2-4C2F-B9A0-40ECC0C9A129}" type="presOf" srcId="{E114DD0C-8C8F-43C3-B168-BF7A38188F61}" destId="{01E0E14C-31BC-4E17-918B-D3545CBAA247}" srcOrd="0" destOrd="0" presId="urn:microsoft.com/office/officeart/2008/layout/NameandTitleOrganizationalChart"/>
    <dgm:cxn modelId="{02E68353-420E-40A0-9133-4E3CCFA8BBA8}" type="presOf" srcId="{9E264E9F-18F8-49B6-9A67-338504B6B99E}" destId="{85B51711-A503-4CBE-B791-D1F13D997FC2}" srcOrd="0" destOrd="0" presId="urn:microsoft.com/office/officeart/2008/layout/NameandTitleOrganizationalChart"/>
    <dgm:cxn modelId="{E318537B-BBFB-42F5-9892-3D543808C78C}" srcId="{42C6A959-53F7-4AEE-8140-ADFD42585592}" destId="{FEB0965A-861E-4ED6-BC98-4AEF5B0C6320}" srcOrd="5" destOrd="0" parTransId="{A985B3AD-CBB5-4C11-AF01-615050FCB5F8}" sibTransId="{84520292-6699-4AFC-A44C-1FEF87B8466B}"/>
    <dgm:cxn modelId="{6270677F-4F29-44BA-8E50-41425FADA2E7}" type="presOf" srcId="{A09538CE-38BD-4961-A46D-D2C01AA3921C}" destId="{998206A8-F70D-476A-9481-8F13BF90A184}" srcOrd="0" destOrd="0" presId="urn:microsoft.com/office/officeart/2008/layout/NameandTitleOrganizationalChart"/>
    <dgm:cxn modelId="{7FF6958A-DC0D-4F93-BD91-73E1A1D74AE5}" type="presOf" srcId="{2588EDE7-7C60-4232-BC86-789545EBD96C}" destId="{BF9E59A3-51A7-4489-898A-26278D050A23}" srcOrd="0" destOrd="0" presId="urn:microsoft.com/office/officeart/2008/layout/NameandTitleOrganizationalChart"/>
    <dgm:cxn modelId="{6DB9D68A-0F16-4FC4-B692-28E45E229B0B}" type="presOf" srcId="{FEB0965A-861E-4ED6-BC98-4AEF5B0C6320}" destId="{1374532A-B366-4134-927A-5BF5AA20F6F3}" srcOrd="0" destOrd="0" presId="urn:microsoft.com/office/officeart/2008/layout/NameandTitleOrganizationalChart"/>
    <dgm:cxn modelId="{5E79438C-AB1F-48FC-A878-9F41DA8753B0}" type="presOf" srcId="{53E82CDE-1B9B-4986-9A23-5C8E02BA1F1C}" destId="{F7B29E33-702F-429F-B479-2C00DCD42CF5}" srcOrd="1" destOrd="0" presId="urn:microsoft.com/office/officeart/2008/layout/NameandTitleOrganizationalChart"/>
    <dgm:cxn modelId="{0D998D92-713A-498D-9DF0-555BD73E9EE7}" srcId="{FEB0965A-861E-4ED6-BC98-4AEF5B0C6320}" destId="{2F83DEAC-EAB3-44E7-96FF-A2F77CBBB0D9}" srcOrd="0" destOrd="0" parTransId="{9E2CC140-16AF-4576-A23A-CCFDDCB0EF21}" sibTransId="{0FE17D39-9AC2-42C3-8817-85D7A16CE17E}"/>
    <dgm:cxn modelId="{36B65798-619F-426F-A00C-471E0005E456}" type="presOf" srcId="{510CFD16-6FF7-41EC-8AF0-55623532A344}" destId="{228122B2-74E5-455A-84A7-D21A93346270}" srcOrd="0" destOrd="0" presId="urn:microsoft.com/office/officeart/2008/layout/NameandTitleOrganizationalChart"/>
    <dgm:cxn modelId="{FD7C1EB6-A164-4CD2-906B-A1CF741C0F72}" type="presOf" srcId="{42C6A959-53F7-4AEE-8140-ADFD42585592}" destId="{17DDBB36-F6DA-43EC-8F78-E6528F13DF46}" srcOrd="0" destOrd="0" presId="urn:microsoft.com/office/officeart/2008/layout/NameandTitleOrganizationalChart"/>
    <dgm:cxn modelId="{4E75E1B8-22AE-45F1-8741-A21AF45904CB}" type="presOf" srcId="{E17F4321-CB39-422A-80BB-3F1812A32C31}" destId="{AF501036-1E47-424A-B801-12819058427C}" srcOrd="0" destOrd="0" presId="urn:microsoft.com/office/officeart/2008/layout/NameandTitleOrganizationalChart"/>
    <dgm:cxn modelId="{7E4B0EB9-B9E9-43C7-94AA-41CF64E13EA2}" type="presOf" srcId="{0146B0DE-76C4-4DE5-8123-188C42739F3B}" destId="{3C3899B2-39B0-45EC-862E-BDF5A517B163}" srcOrd="1" destOrd="0" presId="urn:microsoft.com/office/officeart/2008/layout/NameandTitleOrganizationalChart"/>
    <dgm:cxn modelId="{F4357ACB-FC1E-4AFD-A488-997B74C23020}" type="presOf" srcId="{53E82CDE-1B9B-4986-9A23-5C8E02BA1F1C}" destId="{D283A4F8-A92B-4D48-8654-9BE2CC91AE14}" srcOrd="0" destOrd="0" presId="urn:microsoft.com/office/officeart/2008/layout/NameandTitleOrganizationalChart"/>
    <dgm:cxn modelId="{B4CA57CE-F5D0-41CD-94CD-C0B636509AEA}" type="presOf" srcId="{42C6A959-53F7-4AEE-8140-ADFD42585592}" destId="{1C0D17A9-382D-4957-B2DE-244D804E8500}" srcOrd="1" destOrd="0" presId="urn:microsoft.com/office/officeart/2008/layout/NameandTitleOrganizationalChart"/>
    <dgm:cxn modelId="{FAD72DDD-F5C8-440A-8FA0-2B0C2C903653}" type="presOf" srcId="{0FE17D39-9AC2-42C3-8817-85D7A16CE17E}" destId="{0EEBD12B-2D08-4308-BC85-00C3C8F12673}" srcOrd="0" destOrd="0" presId="urn:microsoft.com/office/officeart/2008/layout/NameandTitleOrganizationalChart"/>
    <dgm:cxn modelId="{930BC3DE-3BFD-4F3C-9C9D-E6CA14DF2F56}" type="presOf" srcId="{0146B0DE-76C4-4DE5-8123-188C42739F3B}" destId="{4E66D26E-2168-402B-90A5-9613121220FF}" srcOrd="0" destOrd="0" presId="urn:microsoft.com/office/officeart/2008/layout/NameandTitleOrganizationalChart"/>
    <dgm:cxn modelId="{292128E1-3328-4D1F-AB7F-D45E28EE1C91}" srcId="{42C6A959-53F7-4AEE-8140-ADFD42585592}" destId="{0146B0DE-76C4-4DE5-8123-188C42739F3B}" srcOrd="0" destOrd="0" parTransId="{1231D102-5BA9-4B26-BBA6-BFB314EBA99C}" sibTransId="{2588EDE7-7C60-4232-BC86-789545EBD96C}"/>
    <dgm:cxn modelId="{3D48AFE5-3312-4D35-B01C-FB721B3931AE}" type="presOf" srcId="{2F83DEAC-EAB3-44E7-96FF-A2F77CBBB0D9}" destId="{AAD53A13-1D73-4B56-BE34-F9FA60F23F68}" srcOrd="1" destOrd="0" presId="urn:microsoft.com/office/officeart/2008/layout/NameandTitleOrganizationalChart"/>
    <dgm:cxn modelId="{3F85C3F2-0C46-49B2-A7EF-02B34A27004E}" type="presOf" srcId="{84520292-6699-4AFC-A44C-1FEF87B8466B}" destId="{0B08F1BD-12DF-4296-8034-0605D72EBBDE}" srcOrd="0" destOrd="0" presId="urn:microsoft.com/office/officeart/2008/layout/NameandTitleOrganizationalChart"/>
    <dgm:cxn modelId="{12293BF3-DC5B-44C9-BFCD-95F727FAAADE}" type="presOf" srcId="{8AD779D0-C03E-4850-AB9B-991B70CFF04D}" destId="{FCE404EA-E77D-4826-A0C5-F5DC5854DA80}" srcOrd="0" destOrd="0" presId="urn:microsoft.com/office/officeart/2008/layout/NameandTitleOrganizationalChart"/>
    <dgm:cxn modelId="{012069F9-AE37-46AF-AAC7-7C99D0771D41}" type="presOf" srcId="{1231D102-5BA9-4B26-BBA6-BFB314EBA99C}" destId="{91A519BD-4E34-4226-B93C-B3CEC45AEAA9}" srcOrd="0" destOrd="0" presId="urn:microsoft.com/office/officeart/2008/layout/NameandTitleOrganizationalChart"/>
    <dgm:cxn modelId="{DB5D57FC-F277-4124-BA70-A502BD6CE103}" type="presOf" srcId="{9501AABB-B55E-488A-B0B0-5DCCA4AEBDFB}" destId="{A8444A67-7BA8-425A-97A5-C9B0B0A56F38}" srcOrd="0" destOrd="0" presId="urn:microsoft.com/office/officeart/2008/layout/NameandTitleOrganizationalChart"/>
    <dgm:cxn modelId="{DB8821ED-6100-4AD5-B948-67AEAE4B8FC6}" type="presParOf" srcId="{FCE404EA-E77D-4826-A0C5-F5DC5854DA80}" destId="{A832869C-5FA7-4DFC-97CA-9DA13EE4A652}" srcOrd="0" destOrd="0" presId="urn:microsoft.com/office/officeart/2008/layout/NameandTitleOrganizationalChart"/>
    <dgm:cxn modelId="{CA2F9731-2C3A-4819-86C5-3DE3C3D2E4D1}" type="presParOf" srcId="{A832869C-5FA7-4DFC-97CA-9DA13EE4A652}" destId="{47F9C191-EBFB-4176-9468-8168016659AA}" srcOrd="0" destOrd="0" presId="urn:microsoft.com/office/officeart/2008/layout/NameandTitleOrganizationalChart"/>
    <dgm:cxn modelId="{9C14A0DB-78F3-48AA-855E-69404487DDB4}" type="presParOf" srcId="{47F9C191-EBFB-4176-9468-8168016659AA}" destId="{17DDBB36-F6DA-43EC-8F78-E6528F13DF46}" srcOrd="0" destOrd="0" presId="urn:microsoft.com/office/officeart/2008/layout/NameandTitleOrganizationalChart"/>
    <dgm:cxn modelId="{1A28C468-984A-4317-9DC3-5D0632E04CD0}" type="presParOf" srcId="{47F9C191-EBFB-4176-9468-8168016659AA}" destId="{4972E6BF-F012-4BC0-A7AA-56DEC555A327}" srcOrd="1" destOrd="0" presId="urn:microsoft.com/office/officeart/2008/layout/NameandTitleOrganizationalChart"/>
    <dgm:cxn modelId="{7F685897-3CE9-43F5-B482-27E91A4DE0CF}" type="presParOf" srcId="{47F9C191-EBFB-4176-9468-8168016659AA}" destId="{1C0D17A9-382D-4957-B2DE-244D804E8500}" srcOrd="2" destOrd="0" presId="urn:microsoft.com/office/officeart/2008/layout/NameandTitleOrganizationalChart"/>
    <dgm:cxn modelId="{360E75B6-D05A-42ED-B30B-EA095A34D55B}" type="presParOf" srcId="{A832869C-5FA7-4DFC-97CA-9DA13EE4A652}" destId="{BDDD6E09-25CD-413E-9AEE-07C10B4423B0}" srcOrd="1" destOrd="0" presId="urn:microsoft.com/office/officeart/2008/layout/NameandTitleOrganizationalChart"/>
    <dgm:cxn modelId="{15FC95E5-92D9-4291-AA52-6F481BE7D487}" type="presParOf" srcId="{BDDD6E09-25CD-413E-9AEE-07C10B4423B0}" destId="{228122B2-74E5-455A-84A7-D21A93346270}" srcOrd="0" destOrd="0" presId="urn:microsoft.com/office/officeart/2008/layout/NameandTitleOrganizationalChart"/>
    <dgm:cxn modelId="{0EDAFBB8-2F4C-475A-8655-EB39532EE57C}" type="presParOf" srcId="{BDDD6E09-25CD-413E-9AEE-07C10B4423B0}" destId="{B0BDEA29-668F-44D5-BE9E-4BFEB2482CD8}" srcOrd="1" destOrd="0" presId="urn:microsoft.com/office/officeart/2008/layout/NameandTitleOrganizationalChart"/>
    <dgm:cxn modelId="{FC1765A5-26A1-41E0-815C-8A776D9E464A}" type="presParOf" srcId="{B0BDEA29-668F-44D5-BE9E-4BFEB2482CD8}" destId="{75232EE1-9C3B-49B7-B449-9BDDAD8F59EE}" srcOrd="0" destOrd="0" presId="urn:microsoft.com/office/officeart/2008/layout/NameandTitleOrganizationalChart"/>
    <dgm:cxn modelId="{2BCDFD68-7E9B-4A92-996D-B6D599B5FAAF}" type="presParOf" srcId="{75232EE1-9C3B-49B7-B449-9BDDAD8F59EE}" destId="{820B73E8-7E2F-478E-A3C8-9087379CE2EB}" srcOrd="0" destOrd="0" presId="urn:microsoft.com/office/officeart/2008/layout/NameandTitleOrganizationalChart"/>
    <dgm:cxn modelId="{722C02FE-1512-4F8B-B9A3-077C1A7E7D45}" type="presParOf" srcId="{75232EE1-9C3B-49B7-B449-9BDDAD8F59EE}" destId="{998206A8-F70D-476A-9481-8F13BF90A184}" srcOrd="1" destOrd="0" presId="urn:microsoft.com/office/officeart/2008/layout/NameandTitleOrganizationalChart"/>
    <dgm:cxn modelId="{A236511B-955F-4285-BF13-A1325D2E259C}" type="presParOf" srcId="{75232EE1-9C3B-49B7-B449-9BDDAD8F59EE}" destId="{A1DCAFF7-EB32-439A-AE93-63492735A30F}" srcOrd="2" destOrd="0" presId="urn:microsoft.com/office/officeart/2008/layout/NameandTitleOrganizationalChart"/>
    <dgm:cxn modelId="{1805FC00-F8F8-4FB3-8A2F-9CAB0E8D2555}" type="presParOf" srcId="{B0BDEA29-668F-44D5-BE9E-4BFEB2482CD8}" destId="{D9B0CE4A-4702-413E-A88F-1F5A995E2E0B}" srcOrd="1" destOrd="0" presId="urn:microsoft.com/office/officeart/2008/layout/NameandTitleOrganizationalChart"/>
    <dgm:cxn modelId="{0E1DA926-3968-41B2-B4F0-97D5BFD13BF2}" type="presParOf" srcId="{B0BDEA29-668F-44D5-BE9E-4BFEB2482CD8}" destId="{CDBE4128-CB49-418C-9DF1-E949D892A83A}" srcOrd="2" destOrd="0" presId="urn:microsoft.com/office/officeart/2008/layout/NameandTitleOrganizationalChart"/>
    <dgm:cxn modelId="{AA8C1DFC-0CB5-4884-AD49-07875BAB596F}" type="presParOf" srcId="{BDDD6E09-25CD-413E-9AEE-07C10B4423B0}" destId="{A8444A67-7BA8-425A-97A5-C9B0B0A56F38}" srcOrd="2" destOrd="0" presId="urn:microsoft.com/office/officeart/2008/layout/NameandTitleOrganizationalChart"/>
    <dgm:cxn modelId="{AAFB5F22-7935-47C0-A8FC-DCF3B5DD2E7D}" type="presParOf" srcId="{BDDD6E09-25CD-413E-9AEE-07C10B4423B0}" destId="{43120369-2D93-4C65-B711-FA96E68730E6}" srcOrd="3" destOrd="0" presId="urn:microsoft.com/office/officeart/2008/layout/NameandTitleOrganizationalChart"/>
    <dgm:cxn modelId="{3AB26C1C-7C09-4BCB-8DA4-CD08ECFF50BC}" type="presParOf" srcId="{43120369-2D93-4C65-B711-FA96E68730E6}" destId="{6AD858A7-7843-467C-A93F-7E0297DAE03D}" srcOrd="0" destOrd="0" presId="urn:microsoft.com/office/officeart/2008/layout/NameandTitleOrganizationalChart"/>
    <dgm:cxn modelId="{F5B2494C-BCED-4651-8182-EDAD7DC67B99}" type="presParOf" srcId="{6AD858A7-7843-467C-A93F-7E0297DAE03D}" destId="{85B51711-A503-4CBE-B791-D1F13D997FC2}" srcOrd="0" destOrd="0" presId="urn:microsoft.com/office/officeart/2008/layout/NameandTitleOrganizationalChart"/>
    <dgm:cxn modelId="{E84004B3-4BD1-43CB-BEE7-667C35AB6EBE}" type="presParOf" srcId="{6AD858A7-7843-467C-A93F-7E0297DAE03D}" destId="{041DA2F2-726F-4D37-9144-B80401C41643}" srcOrd="1" destOrd="0" presId="urn:microsoft.com/office/officeart/2008/layout/NameandTitleOrganizationalChart"/>
    <dgm:cxn modelId="{499B5AE9-198E-4C67-902F-C92C4C972311}" type="presParOf" srcId="{6AD858A7-7843-467C-A93F-7E0297DAE03D}" destId="{C9E2F585-BB27-4C12-84F2-9C9CFFC9712C}" srcOrd="2" destOrd="0" presId="urn:microsoft.com/office/officeart/2008/layout/NameandTitleOrganizationalChart"/>
    <dgm:cxn modelId="{8D752A38-5D9A-4443-A90B-8B87A3E3F14D}" type="presParOf" srcId="{43120369-2D93-4C65-B711-FA96E68730E6}" destId="{6493FDF3-E16A-42B1-8937-640B10E7FFB8}" srcOrd="1" destOrd="0" presId="urn:microsoft.com/office/officeart/2008/layout/NameandTitleOrganizationalChart"/>
    <dgm:cxn modelId="{BD987359-0250-4677-BC13-01B28FF1F6AB}" type="presParOf" srcId="{43120369-2D93-4C65-B711-FA96E68730E6}" destId="{81B6B9F1-FB29-45AE-8279-7803ED24ABAB}" srcOrd="2" destOrd="0" presId="urn:microsoft.com/office/officeart/2008/layout/NameandTitleOrganizationalChart"/>
    <dgm:cxn modelId="{E21E6DA6-BE4B-460C-8B39-0E238DD2B78F}" type="presParOf" srcId="{BDDD6E09-25CD-413E-9AEE-07C10B4423B0}" destId="{AF501036-1E47-424A-B801-12819058427C}" srcOrd="4" destOrd="0" presId="urn:microsoft.com/office/officeart/2008/layout/NameandTitleOrganizationalChart"/>
    <dgm:cxn modelId="{EADF9C0A-BE79-4B58-9856-C026B585A877}" type="presParOf" srcId="{BDDD6E09-25CD-413E-9AEE-07C10B4423B0}" destId="{E0314A08-9605-4772-A37A-0A07E0ACE782}" srcOrd="5" destOrd="0" presId="urn:microsoft.com/office/officeart/2008/layout/NameandTitleOrganizationalChart"/>
    <dgm:cxn modelId="{CCB4D196-E6CA-4727-93BF-C31059AFB932}" type="presParOf" srcId="{E0314A08-9605-4772-A37A-0A07E0ACE782}" destId="{40484B2D-0473-4DEC-AD5C-1A3892D5DF6F}" srcOrd="0" destOrd="0" presId="urn:microsoft.com/office/officeart/2008/layout/NameandTitleOrganizationalChart"/>
    <dgm:cxn modelId="{8D6C0869-82AC-443E-B233-2B60F40D1EFB}" type="presParOf" srcId="{40484B2D-0473-4DEC-AD5C-1A3892D5DF6F}" destId="{7D0F215D-CFD1-417D-A0D7-900FC5F64CF0}" srcOrd="0" destOrd="0" presId="urn:microsoft.com/office/officeart/2008/layout/NameandTitleOrganizationalChart"/>
    <dgm:cxn modelId="{9B64D8AF-6504-49B4-81D9-2B5F628C6D3D}" type="presParOf" srcId="{40484B2D-0473-4DEC-AD5C-1A3892D5DF6F}" destId="{BD1D03C9-B43E-48F4-B40E-39653A2C5A58}" srcOrd="1" destOrd="0" presId="urn:microsoft.com/office/officeart/2008/layout/NameandTitleOrganizationalChart"/>
    <dgm:cxn modelId="{3FF3F1B1-CF6A-4901-8FBC-1C1174C1967C}" type="presParOf" srcId="{40484B2D-0473-4DEC-AD5C-1A3892D5DF6F}" destId="{3F587A48-6596-44A8-A0CA-18EC546D8265}" srcOrd="2" destOrd="0" presId="urn:microsoft.com/office/officeart/2008/layout/NameandTitleOrganizationalChart"/>
    <dgm:cxn modelId="{7F9974E3-6357-43B0-AA73-E197A73A6917}" type="presParOf" srcId="{E0314A08-9605-4772-A37A-0A07E0ACE782}" destId="{C2837FB0-073C-4570-B99E-8D7EF64C6E7D}" srcOrd="1" destOrd="0" presId="urn:microsoft.com/office/officeart/2008/layout/NameandTitleOrganizationalChart"/>
    <dgm:cxn modelId="{CFA8DCFD-5A43-4565-853E-0DE88A6DE03B}" type="presParOf" srcId="{E0314A08-9605-4772-A37A-0A07E0ACE782}" destId="{AB33922A-FC33-4B12-B136-D2B00E1DD323}" srcOrd="2" destOrd="0" presId="urn:microsoft.com/office/officeart/2008/layout/NameandTitleOrganizationalChart"/>
    <dgm:cxn modelId="{F72ABAB0-6B18-4CAA-9750-F1C62D58C904}" type="presParOf" srcId="{BDDD6E09-25CD-413E-9AEE-07C10B4423B0}" destId="{307CED5D-829E-4033-AF53-E824DBA6817E}" srcOrd="6" destOrd="0" presId="urn:microsoft.com/office/officeart/2008/layout/NameandTitleOrganizationalChart"/>
    <dgm:cxn modelId="{D5D7BDEB-957A-4B70-84B7-C0EBA9E1B496}" type="presParOf" srcId="{BDDD6E09-25CD-413E-9AEE-07C10B4423B0}" destId="{F9126045-2B3A-4A08-B0C8-1D73D4B72E5F}" srcOrd="7" destOrd="0" presId="urn:microsoft.com/office/officeart/2008/layout/NameandTitleOrganizationalChart"/>
    <dgm:cxn modelId="{5D5DB667-952E-409F-A9C4-0830D7B31DC0}" type="presParOf" srcId="{F9126045-2B3A-4A08-B0C8-1D73D4B72E5F}" destId="{2137A347-90F1-4049-B372-CC2B83124CD0}" srcOrd="0" destOrd="0" presId="urn:microsoft.com/office/officeart/2008/layout/NameandTitleOrganizationalChart"/>
    <dgm:cxn modelId="{DF123C9B-D3F6-4C63-8932-107DD5146588}" type="presParOf" srcId="{2137A347-90F1-4049-B372-CC2B83124CD0}" destId="{D283A4F8-A92B-4D48-8654-9BE2CC91AE14}" srcOrd="0" destOrd="0" presId="urn:microsoft.com/office/officeart/2008/layout/NameandTitleOrganizationalChart"/>
    <dgm:cxn modelId="{2922F605-1871-4F19-83ED-8BA820002C62}" type="presParOf" srcId="{2137A347-90F1-4049-B372-CC2B83124CD0}" destId="{01E0E14C-31BC-4E17-918B-D3545CBAA247}" srcOrd="1" destOrd="0" presId="urn:microsoft.com/office/officeart/2008/layout/NameandTitleOrganizationalChart"/>
    <dgm:cxn modelId="{9A5082A8-CCB9-4575-B4D0-BA77AD45B74C}" type="presParOf" srcId="{2137A347-90F1-4049-B372-CC2B83124CD0}" destId="{F7B29E33-702F-429F-B479-2C00DCD42CF5}" srcOrd="2" destOrd="0" presId="urn:microsoft.com/office/officeart/2008/layout/NameandTitleOrganizationalChart"/>
    <dgm:cxn modelId="{2FB73554-513C-40B8-BD0C-2FB5151AAAA3}" type="presParOf" srcId="{F9126045-2B3A-4A08-B0C8-1D73D4B72E5F}" destId="{0ACA2E65-7372-4B6A-91BE-CD7938196FA5}" srcOrd="1" destOrd="0" presId="urn:microsoft.com/office/officeart/2008/layout/NameandTitleOrganizationalChart"/>
    <dgm:cxn modelId="{B2D7F365-FB97-420E-A2E6-503DF9F108B6}" type="presParOf" srcId="{F9126045-2B3A-4A08-B0C8-1D73D4B72E5F}" destId="{B8ABB4A1-9E01-4316-B818-5ED7E48631A5}" srcOrd="2" destOrd="0" presId="urn:microsoft.com/office/officeart/2008/layout/NameandTitleOrganizationalChart"/>
    <dgm:cxn modelId="{B6EE8605-9C5A-4432-8744-DEDB7DEB2F6A}" type="presParOf" srcId="{BDDD6E09-25CD-413E-9AEE-07C10B4423B0}" destId="{17ADA4D7-A63C-4B3B-A645-5D7FA2C632EA}" srcOrd="8" destOrd="0" presId="urn:microsoft.com/office/officeart/2008/layout/NameandTitleOrganizationalChart"/>
    <dgm:cxn modelId="{929822BA-CF55-48FE-9CCE-4B9DA5AB6875}" type="presParOf" srcId="{BDDD6E09-25CD-413E-9AEE-07C10B4423B0}" destId="{D72D2FD6-B5AE-42B6-A83E-3BD3BDF59B84}" srcOrd="9" destOrd="0" presId="urn:microsoft.com/office/officeart/2008/layout/NameandTitleOrganizationalChart"/>
    <dgm:cxn modelId="{5B7B6B5D-EB83-4DE4-93ED-DC0AE8C42106}" type="presParOf" srcId="{D72D2FD6-B5AE-42B6-A83E-3BD3BDF59B84}" destId="{F586C188-AE94-4321-880F-2CF446D97B4E}" srcOrd="0" destOrd="0" presId="urn:microsoft.com/office/officeart/2008/layout/NameandTitleOrganizationalChart"/>
    <dgm:cxn modelId="{B0056AB6-1032-4D1A-BFCD-407251A861A8}" type="presParOf" srcId="{F586C188-AE94-4321-880F-2CF446D97B4E}" destId="{1374532A-B366-4134-927A-5BF5AA20F6F3}" srcOrd="0" destOrd="0" presId="urn:microsoft.com/office/officeart/2008/layout/NameandTitleOrganizationalChart"/>
    <dgm:cxn modelId="{96BA361A-72CC-43B0-BED9-E6255088D3F8}" type="presParOf" srcId="{F586C188-AE94-4321-880F-2CF446D97B4E}" destId="{0B08F1BD-12DF-4296-8034-0605D72EBBDE}" srcOrd="1" destOrd="0" presId="urn:microsoft.com/office/officeart/2008/layout/NameandTitleOrganizationalChart"/>
    <dgm:cxn modelId="{F4FE2F06-44B5-4686-93EE-5A4986F6ECAA}" type="presParOf" srcId="{F586C188-AE94-4321-880F-2CF446D97B4E}" destId="{92E8E952-CCA4-4A4B-8143-DB91F66B22FE}" srcOrd="2" destOrd="0" presId="urn:microsoft.com/office/officeart/2008/layout/NameandTitleOrganizationalChart"/>
    <dgm:cxn modelId="{A8D6FEDD-DC54-4F3F-8735-5AE1E3AA13EE}" type="presParOf" srcId="{D72D2FD6-B5AE-42B6-A83E-3BD3BDF59B84}" destId="{90E3913A-A9AB-4256-8468-489F953B0265}" srcOrd="1" destOrd="0" presId="urn:microsoft.com/office/officeart/2008/layout/NameandTitleOrganizationalChart"/>
    <dgm:cxn modelId="{001AD089-91FC-492B-853B-6B6F80A5DC55}" type="presParOf" srcId="{90E3913A-A9AB-4256-8468-489F953B0265}" destId="{8729AAD3-2DCC-4A5E-BC3E-2BA2465AC349}" srcOrd="0" destOrd="0" presId="urn:microsoft.com/office/officeart/2008/layout/NameandTitleOrganizationalChart"/>
    <dgm:cxn modelId="{766AD6C1-7FF5-47ED-B811-5E07ADE1E397}" type="presParOf" srcId="{90E3913A-A9AB-4256-8468-489F953B0265}" destId="{CABBE9C3-147F-413A-955D-616D1C3F9685}" srcOrd="1" destOrd="0" presId="urn:microsoft.com/office/officeart/2008/layout/NameandTitleOrganizationalChart"/>
    <dgm:cxn modelId="{1B13A3C9-C736-4769-B73A-D98D7960ED3A}" type="presParOf" srcId="{CABBE9C3-147F-413A-955D-616D1C3F9685}" destId="{71DBEBE3-B48F-4420-A72E-6BB36057D7E2}" srcOrd="0" destOrd="0" presId="urn:microsoft.com/office/officeart/2008/layout/NameandTitleOrganizationalChart"/>
    <dgm:cxn modelId="{7B5496C2-7E46-401F-82F4-BF8A765F1D4A}" type="presParOf" srcId="{71DBEBE3-B48F-4420-A72E-6BB36057D7E2}" destId="{39EA3EF0-79FD-4114-82BA-C4CE4BBBD0B9}" srcOrd="0" destOrd="0" presId="urn:microsoft.com/office/officeart/2008/layout/NameandTitleOrganizationalChart"/>
    <dgm:cxn modelId="{41C104A4-5C6C-4F3A-8677-9283BA4CF7AC}" type="presParOf" srcId="{71DBEBE3-B48F-4420-A72E-6BB36057D7E2}" destId="{0EEBD12B-2D08-4308-BC85-00C3C8F12673}" srcOrd="1" destOrd="0" presId="urn:microsoft.com/office/officeart/2008/layout/NameandTitleOrganizationalChart"/>
    <dgm:cxn modelId="{597CE708-D07E-45C4-81C6-E54CC6D26808}" type="presParOf" srcId="{71DBEBE3-B48F-4420-A72E-6BB36057D7E2}" destId="{AAD53A13-1D73-4B56-BE34-F9FA60F23F68}" srcOrd="2" destOrd="0" presId="urn:microsoft.com/office/officeart/2008/layout/NameandTitleOrganizationalChart"/>
    <dgm:cxn modelId="{9A39D696-65C2-4E03-95C8-816175A252EB}" type="presParOf" srcId="{CABBE9C3-147F-413A-955D-616D1C3F9685}" destId="{7AF96974-0B41-4B69-A30C-95254178EAE3}" srcOrd="1" destOrd="0" presId="urn:microsoft.com/office/officeart/2008/layout/NameandTitleOrganizationalChart"/>
    <dgm:cxn modelId="{957F240F-1ABA-4FFF-82D4-C91E493B7A43}" type="presParOf" srcId="{CABBE9C3-147F-413A-955D-616D1C3F9685}" destId="{F19EAC1E-CC92-4931-BE4D-052F8339D45F}" srcOrd="2" destOrd="0" presId="urn:microsoft.com/office/officeart/2008/layout/NameandTitleOrganizationalChart"/>
    <dgm:cxn modelId="{36602177-5A73-475D-89E1-898899F4BD53}" type="presParOf" srcId="{D72D2FD6-B5AE-42B6-A83E-3BD3BDF59B84}" destId="{85C3F435-B60D-4243-B16E-4BDC8D6D22D9}" srcOrd="2" destOrd="0" presId="urn:microsoft.com/office/officeart/2008/layout/NameandTitleOrganizationalChart"/>
    <dgm:cxn modelId="{767DDC91-9DA5-4417-9A5F-D0640C69F9E4}" type="presParOf" srcId="{A832869C-5FA7-4DFC-97CA-9DA13EE4A652}" destId="{129222C3-DA1A-4B26-9C48-EAAE8E7BE6ED}" srcOrd="2" destOrd="0" presId="urn:microsoft.com/office/officeart/2008/layout/NameandTitleOrganizationalChart"/>
    <dgm:cxn modelId="{02ECA5F0-9A59-407C-B3DB-79EC0C70C2F1}" type="presParOf" srcId="{129222C3-DA1A-4B26-9C48-EAAE8E7BE6ED}" destId="{91A519BD-4E34-4226-B93C-B3CEC45AEAA9}" srcOrd="0" destOrd="0" presId="urn:microsoft.com/office/officeart/2008/layout/NameandTitleOrganizationalChart"/>
    <dgm:cxn modelId="{A1EA6778-5BBD-437E-9969-2C88CABF4A78}" type="presParOf" srcId="{129222C3-DA1A-4B26-9C48-EAAE8E7BE6ED}" destId="{F2383B00-F16F-4C32-B0D4-5FA605F41034}" srcOrd="1" destOrd="0" presId="urn:microsoft.com/office/officeart/2008/layout/NameandTitleOrganizationalChart"/>
    <dgm:cxn modelId="{939DA5EA-7086-4FD7-94E1-C3DFF3360891}" type="presParOf" srcId="{F2383B00-F16F-4C32-B0D4-5FA605F41034}" destId="{3E299AFA-80DD-4F59-A48B-F234BDB23DBE}" srcOrd="0" destOrd="0" presId="urn:microsoft.com/office/officeart/2008/layout/NameandTitleOrganizationalChart"/>
    <dgm:cxn modelId="{2A7FBF82-32A7-4EEC-BC04-CDDFE56DDBB1}" type="presParOf" srcId="{3E299AFA-80DD-4F59-A48B-F234BDB23DBE}" destId="{4E66D26E-2168-402B-90A5-9613121220FF}" srcOrd="0" destOrd="0" presId="urn:microsoft.com/office/officeart/2008/layout/NameandTitleOrganizationalChart"/>
    <dgm:cxn modelId="{38E73AA0-2565-4164-9CE4-9F05D6CBEBF4}" type="presParOf" srcId="{3E299AFA-80DD-4F59-A48B-F234BDB23DBE}" destId="{BF9E59A3-51A7-4489-898A-26278D050A23}" srcOrd="1" destOrd="0" presId="urn:microsoft.com/office/officeart/2008/layout/NameandTitleOrganizationalChart"/>
    <dgm:cxn modelId="{B324B57D-EFA4-4E0B-A01B-7D168352BB96}" type="presParOf" srcId="{3E299AFA-80DD-4F59-A48B-F234BDB23DBE}" destId="{3C3899B2-39B0-45EC-862E-BDF5A517B163}" srcOrd="2" destOrd="0" presId="urn:microsoft.com/office/officeart/2008/layout/NameandTitleOrganizationalChart"/>
    <dgm:cxn modelId="{E8549AC2-C6E8-401B-A83D-C45640159BE5}" type="presParOf" srcId="{F2383B00-F16F-4C32-B0D4-5FA605F41034}" destId="{BB2BE149-B19C-4DDF-B997-F87C3F53358C}" srcOrd="1" destOrd="0" presId="urn:microsoft.com/office/officeart/2008/layout/NameandTitleOrganizationalChart"/>
    <dgm:cxn modelId="{F391B597-84A0-4B40-A70F-9F38779A988C}" type="presParOf" srcId="{F2383B00-F16F-4C32-B0D4-5FA605F41034}" destId="{7C1B9E45-35DD-4D80-9458-08140391564B}" srcOrd="2" destOrd="0" presId="urn:microsoft.com/office/officeart/2008/layout/NameandTitleOrganizationalChart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8AD779D0-C03E-4850-AB9B-991B70CFF04D}" type="doc">
      <dgm:prSet loTypeId="urn:microsoft.com/office/officeart/2008/layout/NameandTitleOrganizationalChart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pt-BR"/>
        </a:p>
      </dgm:t>
    </dgm:pt>
    <dgm:pt modelId="{42C6A959-53F7-4AEE-8140-ADFD42585592}">
      <dgm:prSet phldrT="[Texto]"/>
      <dgm:spPr/>
      <dgm:t>
        <a:bodyPr/>
        <a:lstStyle/>
        <a:p>
          <a:r>
            <a:rPr lang="pt-BR"/>
            <a:t>Fazenda do Sol - Engenharia</a:t>
          </a:r>
        </a:p>
      </dgm:t>
    </dgm:pt>
    <dgm:pt modelId="{15E1175E-0E20-448A-84EB-848B970EB037}" type="parTrans" cxnId="{88449946-A84F-447F-BF80-145EE46F98F0}">
      <dgm:prSet/>
      <dgm:spPr/>
      <dgm:t>
        <a:bodyPr/>
        <a:lstStyle/>
        <a:p>
          <a:endParaRPr lang="pt-BR"/>
        </a:p>
      </dgm:t>
    </dgm:pt>
    <dgm:pt modelId="{1FCA3CDA-1F70-4C7B-94BF-4BCE83230135}" type="sibTrans" cxnId="{88449946-A84F-447F-BF80-145EE46F98F0}">
      <dgm:prSet/>
      <dgm:spPr/>
      <dgm:t>
        <a:bodyPr/>
        <a:lstStyle/>
        <a:p>
          <a:r>
            <a:rPr lang="pt-BR"/>
            <a:t>Conselho</a:t>
          </a:r>
        </a:p>
      </dgm:t>
    </dgm:pt>
    <dgm:pt modelId="{0146B0DE-76C4-4DE5-8123-188C42739F3B}" type="asst">
      <dgm:prSet phldrT="[Texto]"/>
      <dgm:spPr/>
      <dgm:t>
        <a:bodyPr/>
        <a:lstStyle/>
        <a:p>
          <a:r>
            <a:rPr lang="pt-BR"/>
            <a:t>Controler</a:t>
          </a:r>
        </a:p>
      </dgm:t>
    </dgm:pt>
    <dgm:pt modelId="{1231D102-5BA9-4B26-BBA6-BFB314EBA99C}" type="parTrans" cxnId="{292128E1-3328-4D1F-AB7F-D45E28EE1C91}">
      <dgm:prSet/>
      <dgm:spPr/>
      <dgm:t>
        <a:bodyPr/>
        <a:lstStyle/>
        <a:p>
          <a:endParaRPr lang="pt-BR"/>
        </a:p>
      </dgm:t>
    </dgm:pt>
    <dgm:pt modelId="{2588EDE7-7C60-4232-BC86-789545EBD96C}" type="sibTrans" cxnId="{292128E1-3328-4D1F-AB7F-D45E28EE1C91}">
      <dgm:prSet/>
      <dgm:spPr/>
      <dgm:t>
        <a:bodyPr/>
        <a:lstStyle/>
        <a:p>
          <a:r>
            <a:rPr lang="pt-BR"/>
            <a:t>Tiago</a:t>
          </a:r>
        </a:p>
      </dgm:t>
    </dgm:pt>
    <dgm:pt modelId="{FEB0965A-861E-4ED6-BC98-4AEF5B0C6320}">
      <dgm:prSet phldrT="[Texto]"/>
      <dgm:spPr/>
      <dgm:t>
        <a:bodyPr/>
        <a:lstStyle/>
        <a:p>
          <a:r>
            <a:rPr lang="pt-BR"/>
            <a:t>???</a:t>
          </a:r>
        </a:p>
      </dgm:t>
    </dgm:pt>
    <dgm:pt modelId="{A985B3AD-CBB5-4C11-AF01-615050FCB5F8}" type="parTrans" cxnId="{E318537B-BBFB-42F5-9892-3D543808C78C}">
      <dgm:prSet/>
      <dgm:spPr/>
      <dgm:t>
        <a:bodyPr/>
        <a:lstStyle/>
        <a:p>
          <a:endParaRPr lang="pt-BR"/>
        </a:p>
      </dgm:t>
    </dgm:pt>
    <dgm:pt modelId="{84520292-6699-4AFC-A44C-1FEF87B8466B}" type="sibTrans" cxnId="{E318537B-BBFB-42F5-9892-3D543808C78C}">
      <dgm:prSet/>
      <dgm:spPr/>
      <dgm:t>
        <a:bodyPr/>
        <a:lstStyle/>
        <a:p>
          <a:r>
            <a:rPr lang="pt-BR"/>
            <a:t>Raphael</a:t>
          </a:r>
        </a:p>
      </dgm:t>
    </dgm:pt>
    <dgm:pt modelId="{53E82CDE-1B9B-4986-9A23-5C8E02BA1F1C}">
      <dgm:prSet phldrT="[Texto]"/>
      <dgm:spPr/>
      <dgm:t>
        <a:bodyPr/>
        <a:lstStyle/>
        <a:p>
          <a:r>
            <a:rPr lang="pt-BR"/>
            <a:t>Engenharia</a:t>
          </a:r>
        </a:p>
      </dgm:t>
    </dgm:pt>
    <dgm:pt modelId="{E114DD0C-8C8F-43C3-B168-BF7A38188F61}" type="sibTrans" cxnId="{2F6B764B-924C-4E6C-82F5-EB63105C041A}">
      <dgm:prSet/>
      <dgm:spPr/>
      <dgm:t>
        <a:bodyPr/>
        <a:lstStyle/>
        <a:p>
          <a:r>
            <a:rPr lang="pt-BR"/>
            <a:t>Maxuel</a:t>
          </a:r>
        </a:p>
      </dgm:t>
    </dgm:pt>
    <dgm:pt modelId="{E4894860-D586-468B-B3B5-3F8544D42778}" type="parTrans" cxnId="{2F6B764B-924C-4E6C-82F5-EB63105C041A}">
      <dgm:prSet/>
      <dgm:spPr/>
      <dgm:t>
        <a:bodyPr/>
        <a:lstStyle/>
        <a:p>
          <a:endParaRPr lang="pt-BR"/>
        </a:p>
      </dgm:t>
    </dgm:pt>
    <dgm:pt modelId="{FCE404EA-E77D-4826-A0C5-F5DC5854DA80}" type="pres">
      <dgm:prSet presAssocID="{8AD779D0-C03E-4850-AB9B-991B70CFF04D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A832869C-5FA7-4DFC-97CA-9DA13EE4A652}" type="pres">
      <dgm:prSet presAssocID="{42C6A959-53F7-4AEE-8140-ADFD42585592}" presName="hierRoot1" presStyleCnt="0">
        <dgm:presLayoutVars>
          <dgm:hierBranch val="init"/>
        </dgm:presLayoutVars>
      </dgm:prSet>
      <dgm:spPr/>
    </dgm:pt>
    <dgm:pt modelId="{47F9C191-EBFB-4176-9468-8168016659AA}" type="pres">
      <dgm:prSet presAssocID="{42C6A959-53F7-4AEE-8140-ADFD42585592}" presName="rootComposite1" presStyleCnt="0"/>
      <dgm:spPr/>
    </dgm:pt>
    <dgm:pt modelId="{17DDBB36-F6DA-43EC-8F78-E6528F13DF46}" type="pres">
      <dgm:prSet presAssocID="{42C6A959-53F7-4AEE-8140-ADFD42585592}" presName="rootText1" presStyleLbl="node0" presStyleIdx="0" presStyleCnt="1" custScaleX="69309" custScaleY="53718" custLinFactNeighborY="15382">
        <dgm:presLayoutVars>
          <dgm:chMax/>
          <dgm:chPref val="3"/>
        </dgm:presLayoutVars>
      </dgm:prSet>
      <dgm:spPr/>
    </dgm:pt>
    <dgm:pt modelId="{4972E6BF-F012-4BC0-A7AA-56DEC555A327}" type="pres">
      <dgm:prSet presAssocID="{42C6A959-53F7-4AEE-8140-ADFD42585592}" presName="titleText1" presStyleLbl="fgAcc0" presStyleIdx="0" presStyleCnt="1" custFlipHor="1" custScaleX="63809" custScaleY="61375" custLinFactNeighborX="-16947" custLinFactNeighborY="6400">
        <dgm:presLayoutVars>
          <dgm:chMax val="0"/>
          <dgm:chPref val="0"/>
        </dgm:presLayoutVars>
      </dgm:prSet>
      <dgm:spPr/>
    </dgm:pt>
    <dgm:pt modelId="{1C0D17A9-382D-4957-B2DE-244D804E8500}" type="pres">
      <dgm:prSet presAssocID="{42C6A959-53F7-4AEE-8140-ADFD42585592}" presName="rootConnector1" presStyleLbl="node1" presStyleIdx="0" presStyleCnt="2"/>
      <dgm:spPr/>
    </dgm:pt>
    <dgm:pt modelId="{BDDD6E09-25CD-413E-9AEE-07C10B4423B0}" type="pres">
      <dgm:prSet presAssocID="{42C6A959-53F7-4AEE-8140-ADFD42585592}" presName="hierChild2" presStyleCnt="0"/>
      <dgm:spPr/>
    </dgm:pt>
    <dgm:pt modelId="{307CED5D-829E-4033-AF53-E824DBA6817E}" type="pres">
      <dgm:prSet presAssocID="{E4894860-D586-468B-B3B5-3F8544D42778}" presName="Name37" presStyleLbl="parChTrans1D2" presStyleIdx="0" presStyleCnt="3"/>
      <dgm:spPr/>
    </dgm:pt>
    <dgm:pt modelId="{F9126045-2B3A-4A08-B0C8-1D73D4B72E5F}" type="pres">
      <dgm:prSet presAssocID="{53E82CDE-1B9B-4986-9A23-5C8E02BA1F1C}" presName="hierRoot2" presStyleCnt="0">
        <dgm:presLayoutVars>
          <dgm:hierBranch val="init"/>
        </dgm:presLayoutVars>
      </dgm:prSet>
      <dgm:spPr/>
    </dgm:pt>
    <dgm:pt modelId="{2137A347-90F1-4049-B372-CC2B83124CD0}" type="pres">
      <dgm:prSet presAssocID="{53E82CDE-1B9B-4986-9A23-5C8E02BA1F1C}" presName="rootComposite" presStyleCnt="0"/>
      <dgm:spPr/>
    </dgm:pt>
    <dgm:pt modelId="{D283A4F8-A92B-4D48-8654-9BE2CC91AE14}" type="pres">
      <dgm:prSet presAssocID="{53E82CDE-1B9B-4986-9A23-5C8E02BA1F1C}" presName="rootText" presStyleLbl="node1" presStyleIdx="0" presStyleCnt="2" custScaleX="72605" custScaleY="59845" custLinFactNeighborX="2152" custLinFactNeighborY="-42602">
        <dgm:presLayoutVars>
          <dgm:chMax/>
          <dgm:chPref val="3"/>
        </dgm:presLayoutVars>
      </dgm:prSet>
      <dgm:spPr/>
    </dgm:pt>
    <dgm:pt modelId="{01E0E14C-31BC-4E17-918B-D3545CBAA247}" type="pres">
      <dgm:prSet presAssocID="{53E82CDE-1B9B-4986-9A23-5C8E02BA1F1C}" presName="titleText2" presStyleLbl="fgAcc1" presStyleIdx="0" presStyleCnt="2" custScaleX="72377" custScaleY="60202" custLinFactY="-71446" custLinFactNeighborX="-1196" custLinFactNeighborY="-100000">
        <dgm:presLayoutVars>
          <dgm:chMax val="0"/>
          <dgm:chPref val="0"/>
        </dgm:presLayoutVars>
      </dgm:prSet>
      <dgm:spPr/>
    </dgm:pt>
    <dgm:pt modelId="{F7B29E33-702F-429F-B479-2C00DCD42CF5}" type="pres">
      <dgm:prSet presAssocID="{53E82CDE-1B9B-4986-9A23-5C8E02BA1F1C}" presName="rootConnector" presStyleLbl="node2" presStyleIdx="0" presStyleCnt="0"/>
      <dgm:spPr/>
    </dgm:pt>
    <dgm:pt modelId="{0ACA2E65-7372-4B6A-91BE-CD7938196FA5}" type="pres">
      <dgm:prSet presAssocID="{53E82CDE-1B9B-4986-9A23-5C8E02BA1F1C}" presName="hierChild4" presStyleCnt="0"/>
      <dgm:spPr/>
    </dgm:pt>
    <dgm:pt modelId="{B8ABB4A1-9E01-4316-B818-5ED7E48631A5}" type="pres">
      <dgm:prSet presAssocID="{53E82CDE-1B9B-4986-9A23-5C8E02BA1F1C}" presName="hierChild5" presStyleCnt="0"/>
      <dgm:spPr/>
    </dgm:pt>
    <dgm:pt modelId="{17ADA4D7-A63C-4B3B-A645-5D7FA2C632EA}" type="pres">
      <dgm:prSet presAssocID="{A985B3AD-CBB5-4C11-AF01-615050FCB5F8}" presName="Name37" presStyleLbl="parChTrans1D2" presStyleIdx="1" presStyleCnt="3"/>
      <dgm:spPr/>
    </dgm:pt>
    <dgm:pt modelId="{D72D2FD6-B5AE-42B6-A83E-3BD3BDF59B84}" type="pres">
      <dgm:prSet presAssocID="{FEB0965A-861E-4ED6-BC98-4AEF5B0C6320}" presName="hierRoot2" presStyleCnt="0">
        <dgm:presLayoutVars>
          <dgm:hierBranch val="init"/>
        </dgm:presLayoutVars>
      </dgm:prSet>
      <dgm:spPr/>
    </dgm:pt>
    <dgm:pt modelId="{F586C188-AE94-4321-880F-2CF446D97B4E}" type="pres">
      <dgm:prSet presAssocID="{FEB0965A-861E-4ED6-BC98-4AEF5B0C6320}" presName="rootComposite" presStyleCnt="0"/>
      <dgm:spPr/>
    </dgm:pt>
    <dgm:pt modelId="{1374532A-B366-4134-927A-5BF5AA20F6F3}" type="pres">
      <dgm:prSet presAssocID="{FEB0965A-861E-4ED6-BC98-4AEF5B0C6320}" presName="rootText" presStyleLbl="node1" presStyleIdx="1" presStyleCnt="2" custScaleX="66723" custScaleY="58372" custLinFactNeighborX="-3766" custLinFactNeighborY="-42613">
        <dgm:presLayoutVars>
          <dgm:chMax/>
          <dgm:chPref val="3"/>
        </dgm:presLayoutVars>
      </dgm:prSet>
      <dgm:spPr/>
    </dgm:pt>
    <dgm:pt modelId="{0B08F1BD-12DF-4296-8034-0605D72EBBDE}" type="pres">
      <dgm:prSet presAssocID="{FEB0965A-861E-4ED6-BC98-4AEF5B0C6320}" presName="titleText2" presStyleLbl="fgAcc1" presStyleIdx="1" presStyleCnt="2" custScaleX="72377" custScaleY="60202" custLinFactY="-55860" custLinFactNeighborX="-9564" custLinFactNeighborY="-100000">
        <dgm:presLayoutVars>
          <dgm:chMax val="0"/>
          <dgm:chPref val="0"/>
        </dgm:presLayoutVars>
      </dgm:prSet>
      <dgm:spPr/>
    </dgm:pt>
    <dgm:pt modelId="{92E8E952-CCA4-4A4B-8143-DB91F66B22FE}" type="pres">
      <dgm:prSet presAssocID="{FEB0965A-861E-4ED6-BC98-4AEF5B0C6320}" presName="rootConnector" presStyleLbl="node2" presStyleIdx="0" presStyleCnt="0"/>
      <dgm:spPr/>
    </dgm:pt>
    <dgm:pt modelId="{90E3913A-A9AB-4256-8468-489F953B0265}" type="pres">
      <dgm:prSet presAssocID="{FEB0965A-861E-4ED6-BC98-4AEF5B0C6320}" presName="hierChild4" presStyleCnt="0"/>
      <dgm:spPr/>
    </dgm:pt>
    <dgm:pt modelId="{85C3F435-B60D-4243-B16E-4BDC8D6D22D9}" type="pres">
      <dgm:prSet presAssocID="{FEB0965A-861E-4ED6-BC98-4AEF5B0C6320}" presName="hierChild5" presStyleCnt="0"/>
      <dgm:spPr/>
    </dgm:pt>
    <dgm:pt modelId="{129222C3-DA1A-4B26-9C48-EAAE8E7BE6ED}" type="pres">
      <dgm:prSet presAssocID="{42C6A959-53F7-4AEE-8140-ADFD42585592}" presName="hierChild3" presStyleCnt="0"/>
      <dgm:spPr/>
    </dgm:pt>
    <dgm:pt modelId="{91A519BD-4E34-4226-B93C-B3CEC45AEAA9}" type="pres">
      <dgm:prSet presAssocID="{1231D102-5BA9-4B26-BBA6-BFB314EBA99C}" presName="Name96" presStyleLbl="parChTrans1D2" presStyleIdx="2" presStyleCnt="3"/>
      <dgm:spPr/>
    </dgm:pt>
    <dgm:pt modelId="{F2383B00-F16F-4C32-B0D4-5FA605F41034}" type="pres">
      <dgm:prSet presAssocID="{0146B0DE-76C4-4DE5-8123-188C42739F3B}" presName="hierRoot3" presStyleCnt="0">
        <dgm:presLayoutVars>
          <dgm:hierBranch val="init"/>
        </dgm:presLayoutVars>
      </dgm:prSet>
      <dgm:spPr/>
    </dgm:pt>
    <dgm:pt modelId="{3E299AFA-80DD-4F59-A48B-F234BDB23DBE}" type="pres">
      <dgm:prSet presAssocID="{0146B0DE-76C4-4DE5-8123-188C42739F3B}" presName="rootComposite3" presStyleCnt="0"/>
      <dgm:spPr/>
    </dgm:pt>
    <dgm:pt modelId="{4E66D26E-2168-402B-90A5-9613121220FF}" type="pres">
      <dgm:prSet presAssocID="{0146B0DE-76C4-4DE5-8123-188C42739F3B}" presName="rootText3" presStyleLbl="asst1" presStyleIdx="0" presStyleCnt="1" custScaleX="70606" custScaleY="64592" custLinFactNeighborX="2690" custLinFactNeighborY="-37406">
        <dgm:presLayoutVars>
          <dgm:chPref val="3"/>
        </dgm:presLayoutVars>
      </dgm:prSet>
      <dgm:spPr/>
    </dgm:pt>
    <dgm:pt modelId="{BF9E59A3-51A7-4489-898A-26278D050A23}" type="pres">
      <dgm:prSet presAssocID="{0146B0DE-76C4-4DE5-8123-188C42739F3B}" presName="titleText3" presStyleLbl="fgAcc2" presStyleIdx="0" presStyleCnt="1" custScaleX="72377" custScaleY="60202" custLinFactY="-43391" custLinFactNeighborX="-3587" custLinFactNeighborY="-100000">
        <dgm:presLayoutVars>
          <dgm:chMax val="0"/>
          <dgm:chPref val="0"/>
        </dgm:presLayoutVars>
      </dgm:prSet>
      <dgm:spPr/>
    </dgm:pt>
    <dgm:pt modelId="{3C3899B2-39B0-45EC-862E-BDF5A517B163}" type="pres">
      <dgm:prSet presAssocID="{0146B0DE-76C4-4DE5-8123-188C42739F3B}" presName="rootConnector3" presStyleLbl="asst1" presStyleIdx="0" presStyleCnt="1"/>
      <dgm:spPr/>
    </dgm:pt>
    <dgm:pt modelId="{BB2BE149-B19C-4DDF-B997-F87C3F53358C}" type="pres">
      <dgm:prSet presAssocID="{0146B0DE-76C4-4DE5-8123-188C42739F3B}" presName="hierChild6" presStyleCnt="0"/>
      <dgm:spPr/>
    </dgm:pt>
    <dgm:pt modelId="{7C1B9E45-35DD-4D80-9458-08140391564B}" type="pres">
      <dgm:prSet presAssocID="{0146B0DE-76C4-4DE5-8123-188C42739F3B}" presName="hierChild7" presStyleCnt="0"/>
      <dgm:spPr/>
    </dgm:pt>
  </dgm:ptLst>
  <dgm:cxnLst>
    <dgm:cxn modelId="{D20E3205-1124-430B-A483-50F977433E48}" type="presOf" srcId="{FEB0965A-861E-4ED6-BC98-4AEF5B0C6320}" destId="{92E8E952-CCA4-4A4B-8143-DB91F66B22FE}" srcOrd="1" destOrd="0" presId="urn:microsoft.com/office/officeart/2008/layout/NameandTitleOrganizationalChart"/>
    <dgm:cxn modelId="{4BDABB33-834D-478F-A042-740C0FC669BF}" type="presOf" srcId="{E4894860-D586-468B-B3B5-3F8544D42778}" destId="{307CED5D-829E-4033-AF53-E824DBA6817E}" srcOrd="0" destOrd="0" presId="urn:microsoft.com/office/officeart/2008/layout/NameandTitleOrganizationalChart"/>
    <dgm:cxn modelId="{88449946-A84F-447F-BF80-145EE46F98F0}" srcId="{8AD779D0-C03E-4850-AB9B-991B70CFF04D}" destId="{42C6A959-53F7-4AEE-8140-ADFD42585592}" srcOrd="0" destOrd="0" parTransId="{15E1175E-0E20-448A-84EB-848B970EB037}" sibTransId="{1FCA3CDA-1F70-4C7B-94BF-4BCE83230135}"/>
    <dgm:cxn modelId="{67C5B148-5A54-4777-9102-A78C1A72AB2B}" type="presOf" srcId="{A985B3AD-CBB5-4C11-AF01-615050FCB5F8}" destId="{17ADA4D7-A63C-4B3B-A645-5D7FA2C632EA}" srcOrd="0" destOrd="0" presId="urn:microsoft.com/office/officeart/2008/layout/NameandTitleOrganizationalChart"/>
    <dgm:cxn modelId="{2F6B764B-924C-4E6C-82F5-EB63105C041A}" srcId="{42C6A959-53F7-4AEE-8140-ADFD42585592}" destId="{53E82CDE-1B9B-4986-9A23-5C8E02BA1F1C}" srcOrd="1" destOrd="0" parTransId="{E4894860-D586-468B-B3B5-3F8544D42778}" sibTransId="{E114DD0C-8C8F-43C3-B168-BF7A38188F61}"/>
    <dgm:cxn modelId="{7231604C-B3FB-4AA5-8DAD-E0A1CC4BA082}" type="presOf" srcId="{1FCA3CDA-1F70-4C7B-94BF-4BCE83230135}" destId="{4972E6BF-F012-4BC0-A7AA-56DEC555A327}" srcOrd="0" destOrd="0" presId="urn:microsoft.com/office/officeart/2008/layout/NameandTitleOrganizationalChart"/>
    <dgm:cxn modelId="{32D5D24E-CDB2-4C2F-B9A0-40ECC0C9A129}" type="presOf" srcId="{E114DD0C-8C8F-43C3-B168-BF7A38188F61}" destId="{01E0E14C-31BC-4E17-918B-D3545CBAA247}" srcOrd="0" destOrd="0" presId="urn:microsoft.com/office/officeart/2008/layout/NameandTitleOrganizationalChart"/>
    <dgm:cxn modelId="{E318537B-BBFB-42F5-9892-3D543808C78C}" srcId="{42C6A959-53F7-4AEE-8140-ADFD42585592}" destId="{FEB0965A-861E-4ED6-BC98-4AEF5B0C6320}" srcOrd="2" destOrd="0" parTransId="{A985B3AD-CBB5-4C11-AF01-615050FCB5F8}" sibTransId="{84520292-6699-4AFC-A44C-1FEF87B8466B}"/>
    <dgm:cxn modelId="{7FF6958A-DC0D-4F93-BD91-73E1A1D74AE5}" type="presOf" srcId="{2588EDE7-7C60-4232-BC86-789545EBD96C}" destId="{BF9E59A3-51A7-4489-898A-26278D050A23}" srcOrd="0" destOrd="0" presId="urn:microsoft.com/office/officeart/2008/layout/NameandTitleOrganizationalChart"/>
    <dgm:cxn modelId="{6DB9D68A-0F16-4FC4-B692-28E45E229B0B}" type="presOf" srcId="{FEB0965A-861E-4ED6-BC98-4AEF5B0C6320}" destId="{1374532A-B366-4134-927A-5BF5AA20F6F3}" srcOrd="0" destOrd="0" presId="urn:microsoft.com/office/officeart/2008/layout/NameandTitleOrganizationalChart"/>
    <dgm:cxn modelId="{5E79438C-AB1F-48FC-A878-9F41DA8753B0}" type="presOf" srcId="{53E82CDE-1B9B-4986-9A23-5C8E02BA1F1C}" destId="{F7B29E33-702F-429F-B479-2C00DCD42CF5}" srcOrd="1" destOrd="0" presId="urn:microsoft.com/office/officeart/2008/layout/NameandTitleOrganizationalChart"/>
    <dgm:cxn modelId="{FD7C1EB6-A164-4CD2-906B-A1CF741C0F72}" type="presOf" srcId="{42C6A959-53F7-4AEE-8140-ADFD42585592}" destId="{17DDBB36-F6DA-43EC-8F78-E6528F13DF46}" srcOrd="0" destOrd="0" presId="urn:microsoft.com/office/officeart/2008/layout/NameandTitleOrganizationalChart"/>
    <dgm:cxn modelId="{7E4B0EB9-B9E9-43C7-94AA-41CF64E13EA2}" type="presOf" srcId="{0146B0DE-76C4-4DE5-8123-188C42739F3B}" destId="{3C3899B2-39B0-45EC-862E-BDF5A517B163}" srcOrd="1" destOrd="0" presId="urn:microsoft.com/office/officeart/2008/layout/NameandTitleOrganizationalChart"/>
    <dgm:cxn modelId="{F4357ACB-FC1E-4AFD-A488-997B74C23020}" type="presOf" srcId="{53E82CDE-1B9B-4986-9A23-5C8E02BA1F1C}" destId="{D283A4F8-A92B-4D48-8654-9BE2CC91AE14}" srcOrd="0" destOrd="0" presId="urn:microsoft.com/office/officeart/2008/layout/NameandTitleOrganizationalChart"/>
    <dgm:cxn modelId="{B4CA57CE-F5D0-41CD-94CD-C0B636509AEA}" type="presOf" srcId="{42C6A959-53F7-4AEE-8140-ADFD42585592}" destId="{1C0D17A9-382D-4957-B2DE-244D804E8500}" srcOrd="1" destOrd="0" presId="urn:microsoft.com/office/officeart/2008/layout/NameandTitleOrganizationalChart"/>
    <dgm:cxn modelId="{930BC3DE-3BFD-4F3C-9C9D-E6CA14DF2F56}" type="presOf" srcId="{0146B0DE-76C4-4DE5-8123-188C42739F3B}" destId="{4E66D26E-2168-402B-90A5-9613121220FF}" srcOrd="0" destOrd="0" presId="urn:microsoft.com/office/officeart/2008/layout/NameandTitleOrganizationalChart"/>
    <dgm:cxn modelId="{292128E1-3328-4D1F-AB7F-D45E28EE1C91}" srcId="{42C6A959-53F7-4AEE-8140-ADFD42585592}" destId="{0146B0DE-76C4-4DE5-8123-188C42739F3B}" srcOrd="0" destOrd="0" parTransId="{1231D102-5BA9-4B26-BBA6-BFB314EBA99C}" sibTransId="{2588EDE7-7C60-4232-BC86-789545EBD96C}"/>
    <dgm:cxn modelId="{3F85C3F2-0C46-49B2-A7EF-02B34A27004E}" type="presOf" srcId="{84520292-6699-4AFC-A44C-1FEF87B8466B}" destId="{0B08F1BD-12DF-4296-8034-0605D72EBBDE}" srcOrd="0" destOrd="0" presId="urn:microsoft.com/office/officeart/2008/layout/NameandTitleOrganizationalChart"/>
    <dgm:cxn modelId="{12293BF3-DC5B-44C9-BFCD-95F727FAAADE}" type="presOf" srcId="{8AD779D0-C03E-4850-AB9B-991B70CFF04D}" destId="{FCE404EA-E77D-4826-A0C5-F5DC5854DA80}" srcOrd="0" destOrd="0" presId="urn:microsoft.com/office/officeart/2008/layout/NameandTitleOrganizationalChart"/>
    <dgm:cxn modelId="{012069F9-AE37-46AF-AAC7-7C99D0771D41}" type="presOf" srcId="{1231D102-5BA9-4B26-BBA6-BFB314EBA99C}" destId="{91A519BD-4E34-4226-B93C-B3CEC45AEAA9}" srcOrd="0" destOrd="0" presId="urn:microsoft.com/office/officeart/2008/layout/NameandTitleOrganizationalChart"/>
    <dgm:cxn modelId="{DB8821ED-6100-4AD5-B948-67AEAE4B8FC6}" type="presParOf" srcId="{FCE404EA-E77D-4826-A0C5-F5DC5854DA80}" destId="{A832869C-5FA7-4DFC-97CA-9DA13EE4A652}" srcOrd="0" destOrd="0" presId="urn:microsoft.com/office/officeart/2008/layout/NameandTitleOrganizationalChart"/>
    <dgm:cxn modelId="{CA2F9731-2C3A-4819-86C5-3DE3C3D2E4D1}" type="presParOf" srcId="{A832869C-5FA7-4DFC-97CA-9DA13EE4A652}" destId="{47F9C191-EBFB-4176-9468-8168016659AA}" srcOrd="0" destOrd="0" presId="urn:microsoft.com/office/officeart/2008/layout/NameandTitleOrganizationalChart"/>
    <dgm:cxn modelId="{9C14A0DB-78F3-48AA-855E-69404487DDB4}" type="presParOf" srcId="{47F9C191-EBFB-4176-9468-8168016659AA}" destId="{17DDBB36-F6DA-43EC-8F78-E6528F13DF46}" srcOrd="0" destOrd="0" presId="urn:microsoft.com/office/officeart/2008/layout/NameandTitleOrganizationalChart"/>
    <dgm:cxn modelId="{1A28C468-984A-4317-9DC3-5D0632E04CD0}" type="presParOf" srcId="{47F9C191-EBFB-4176-9468-8168016659AA}" destId="{4972E6BF-F012-4BC0-A7AA-56DEC555A327}" srcOrd="1" destOrd="0" presId="urn:microsoft.com/office/officeart/2008/layout/NameandTitleOrganizationalChart"/>
    <dgm:cxn modelId="{7F685897-3CE9-43F5-B482-27E91A4DE0CF}" type="presParOf" srcId="{47F9C191-EBFB-4176-9468-8168016659AA}" destId="{1C0D17A9-382D-4957-B2DE-244D804E8500}" srcOrd="2" destOrd="0" presId="urn:microsoft.com/office/officeart/2008/layout/NameandTitleOrganizationalChart"/>
    <dgm:cxn modelId="{360E75B6-D05A-42ED-B30B-EA095A34D55B}" type="presParOf" srcId="{A832869C-5FA7-4DFC-97CA-9DA13EE4A652}" destId="{BDDD6E09-25CD-413E-9AEE-07C10B4423B0}" srcOrd="1" destOrd="0" presId="urn:microsoft.com/office/officeart/2008/layout/NameandTitleOrganizationalChart"/>
    <dgm:cxn modelId="{F72ABAB0-6B18-4CAA-9750-F1C62D58C904}" type="presParOf" srcId="{BDDD6E09-25CD-413E-9AEE-07C10B4423B0}" destId="{307CED5D-829E-4033-AF53-E824DBA6817E}" srcOrd="0" destOrd="0" presId="urn:microsoft.com/office/officeart/2008/layout/NameandTitleOrganizationalChart"/>
    <dgm:cxn modelId="{D5D7BDEB-957A-4B70-84B7-C0EBA9E1B496}" type="presParOf" srcId="{BDDD6E09-25CD-413E-9AEE-07C10B4423B0}" destId="{F9126045-2B3A-4A08-B0C8-1D73D4B72E5F}" srcOrd="1" destOrd="0" presId="urn:microsoft.com/office/officeart/2008/layout/NameandTitleOrganizationalChart"/>
    <dgm:cxn modelId="{5D5DB667-952E-409F-A9C4-0830D7B31DC0}" type="presParOf" srcId="{F9126045-2B3A-4A08-B0C8-1D73D4B72E5F}" destId="{2137A347-90F1-4049-B372-CC2B83124CD0}" srcOrd="0" destOrd="0" presId="urn:microsoft.com/office/officeart/2008/layout/NameandTitleOrganizationalChart"/>
    <dgm:cxn modelId="{DF123C9B-D3F6-4C63-8932-107DD5146588}" type="presParOf" srcId="{2137A347-90F1-4049-B372-CC2B83124CD0}" destId="{D283A4F8-A92B-4D48-8654-9BE2CC91AE14}" srcOrd="0" destOrd="0" presId="urn:microsoft.com/office/officeart/2008/layout/NameandTitleOrganizationalChart"/>
    <dgm:cxn modelId="{2922F605-1871-4F19-83ED-8BA820002C62}" type="presParOf" srcId="{2137A347-90F1-4049-B372-CC2B83124CD0}" destId="{01E0E14C-31BC-4E17-918B-D3545CBAA247}" srcOrd="1" destOrd="0" presId="urn:microsoft.com/office/officeart/2008/layout/NameandTitleOrganizationalChart"/>
    <dgm:cxn modelId="{9A5082A8-CCB9-4575-B4D0-BA77AD45B74C}" type="presParOf" srcId="{2137A347-90F1-4049-B372-CC2B83124CD0}" destId="{F7B29E33-702F-429F-B479-2C00DCD42CF5}" srcOrd="2" destOrd="0" presId="urn:microsoft.com/office/officeart/2008/layout/NameandTitleOrganizationalChart"/>
    <dgm:cxn modelId="{2FB73554-513C-40B8-BD0C-2FB5151AAAA3}" type="presParOf" srcId="{F9126045-2B3A-4A08-B0C8-1D73D4B72E5F}" destId="{0ACA2E65-7372-4B6A-91BE-CD7938196FA5}" srcOrd="1" destOrd="0" presId="urn:microsoft.com/office/officeart/2008/layout/NameandTitleOrganizationalChart"/>
    <dgm:cxn modelId="{B2D7F365-FB97-420E-A2E6-503DF9F108B6}" type="presParOf" srcId="{F9126045-2B3A-4A08-B0C8-1D73D4B72E5F}" destId="{B8ABB4A1-9E01-4316-B818-5ED7E48631A5}" srcOrd="2" destOrd="0" presId="urn:microsoft.com/office/officeart/2008/layout/NameandTitleOrganizationalChart"/>
    <dgm:cxn modelId="{B6EE8605-9C5A-4432-8744-DEDB7DEB2F6A}" type="presParOf" srcId="{BDDD6E09-25CD-413E-9AEE-07C10B4423B0}" destId="{17ADA4D7-A63C-4B3B-A645-5D7FA2C632EA}" srcOrd="2" destOrd="0" presId="urn:microsoft.com/office/officeart/2008/layout/NameandTitleOrganizationalChart"/>
    <dgm:cxn modelId="{929822BA-CF55-48FE-9CCE-4B9DA5AB6875}" type="presParOf" srcId="{BDDD6E09-25CD-413E-9AEE-07C10B4423B0}" destId="{D72D2FD6-B5AE-42B6-A83E-3BD3BDF59B84}" srcOrd="3" destOrd="0" presId="urn:microsoft.com/office/officeart/2008/layout/NameandTitleOrganizationalChart"/>
    <dgm:cxn modelId="{5B7B6B5D-EB83-4DE4-93ED-DC0AE8C42106}" type="presParOf" srcId="{D72D2FD6-B5AE-42B6-A83E-3BD3BDF59B84}" destId="{F586C188-AE94-4321-880F-2CF446D97B4E}" srcOrd="0" destOrd="0" presId="urn:microsoft.com/office/officeart/2008/layout/NameandTitleOrganizationalChart"/>
    <dgm:cxn modelId="{B0056AB6-1032-4D1A-BFCD-407251A861A8}" type="presParOf" srcId="{F586C188-AE94-4321-880F-2CF446D97B4E}" destId="{1374532A-B366-4134-927A-5BF5AA20F6F3}" srcOrd="0" destOrd="0" presId="urn:microsoft.com/office/officeart/2008/layout/NameandTitleOrganizationalChart"/>
    <dgm:cxn modelId="{96BA361A-72CC-43B0-BED9-E6255088D3F8}" type="presParOf" srcId="{F586C188-AE94-4321-880F-2CF446D97B4E}" destId="{0B08F1BD-12DF-4296-8034-0605D72EBBDE}" srcOrd="1" destOrd="0" presId="urn:microsoft.com/office/officeart/2008/layout/NameandTitleOrganizationalChart"/>
    <dgm:cxn modelId="{F4FE2F06-44B5-4686-93EE-5A4986F6ECAA}" type="presParOf" srcId="{F586C188-AE94-4321-880F-2CF446D97B4E}" destId="{92E8E952-CCA4-4A4B-8143-DB91F66B22FE}" srcOrd="2" destOrd="0" presId="urn:microsoft.com/office/officeart/2008/layout/NameandTitleOrganizationalChart"/>
    <dgm:cxn modelId="{A8D6FEDD-DC54-4F3F-8735-5AE1E3AA13EE}" type="presParOf" srcId="{D72D2FD6-B5AE-42B6-A83E-3BD3BDF59B84}" destId="{90E3913A-A9AB-4256-8468-489F953B0265}" srcOrd="1" destOrd="0" presId="urn:microsoft.com/office/officeart/2008/layout/NameandTitleOrganizationalChart"/>
    <dgm:cxn modelId="{36602177-5A73-475D-89E1-898899F4BD53}" type="presParOf" srcId="{D72D2FD6-B5AE-42B6-A83E-3BD3BDF59B84}" destId="{85C3F435-B60D-4243-B16E-4BDC8D6D22D9}" srcOrd="2" destOrd="0" presId="urn:microsoft.com/office/officeart/2008/layout/NameandTitleOrganizationalChart"/>
    <dgm:cxn modelId="{767DDC91-9DA5-4417-9A5F-D0640C69F9E4}" type="presParOf" srcId="{A832869C-5FA7-4DFC-97CA-9DA13EE4A652}" destId="{129222C3-DA1A-4B26-9C48-EAAE8E7BE6ED}" srcOrd="2" destOrd="0" presId="urn:microsoft.com/office/officeart/2008/layout/NameandTitleOrganizationalChart"/>
    <dgm:cxn modelId="{02ECA5F0-9A59-407C-B3DB-79EC0C70C2F1}" type="presParOf" srcId="{129222C3-DA1A-4B26-9C48-EAAE8E7BE6ED}" destId="{91A519BD-4E34-4226-B93C-B3CEC45AEAA9}" srcOrd="0" destOrd="0" presId="urn:microsoft.com/office/officeart/2008/layout/NameandTitleOrganizationalChart"/>
    <dgm:cxn modelId="{A1EA6778-5BBD-437E-9969-2C88CABF4A78}" type="presParOf" srcId="{129222C3-DA1A-4B26-9C48-EAAE8E7BE6ED}" destId="{F2383B00-F16F-4C32-B0D4-5FA605F41034}" srcOrd="1" destOrd="0" presId="urn:microsoft.com/office/officeart/2008/layout/NameandTitleOrganizationalChart"/>
    <dgm:cxn modelId="{939DA5EA-7086-4FD7-94E1-C3DFF3360891}" type="presParOf" srcId="{F2383B00-F16F-4C32-B0D4-5FA605F41034}" destId="{3E299AFA-80DD-4F59-A48B-F234BDB23DBE}" srcOrd="0" destOrd="0" presId="urn:microsoft.com/office/officeart/2008/layout/NameandTitleOrganizationalChart"/>
    <dgm:cxn modelId="{2A7FBF82-32A7-4EEC-BC04-CDDFE56DDBB1}" type="presParOf" srcId="{3E299AFA-80DD-4F59-A48B-F234BDB23DBE}" destId="{4E66D26E-2168-402B-90A5-9613121220FF}" srcOrd="0" destOrd="0" presId="urn:microsoft.com/office/officeart/2008/layout/NameandTitleOrganizationalChart"/>
    <dgm:cxn modelId="{38E73AA0-2565-4164-9CE4-9F05D6CBEBF4}" type="presParOf" srcId="{3E299AFA-80DD-4F59-A48B-F234BDB23DBE}" destId="{BF9E59A3-51A7-4489-898A-26278D050A23}" srcOrd="1" destOrd="0" presId="urn:microsoft.com/office/officeart/2008/layout/NameandTitleOrganizationalChart"/>
    <dgm:cxn modelId="{B324B57D-EFA4-4E0B-A01B-7D168352BB96}" type="presParOf" srcId="{3E299AFA-80DD-4F59-A48B-F234BDB23DBE}" destId="{3C3899B2-39B0-45EC-862E-BDF5A517B163}" srcOrd="2" destOrd="0" presId="urn:microsoft.com/office/officeart/2008/layout/NameandTitleOrganizationalChart"/>
    <dgm:cxn modelId="{E8549AC2-C6E8-401B-A83D-C45640159BE5}" type="presParOf" srcId="{F2383B00-F16F-4C32-B0D4-5FA605F41034}" destId="{BB2BE149-B19C-4DDF-B997-F87C3F53358C}" srcOrd="1" destOrd="0" presId="urn:microsoft.com/office/officeart/2008/layout/NameandTitleOrganizationalChart"/>
    <dgm:cxn modelId="{F391B597-84A0-4B40-A70F-9F38779A988C}" type="presParOf" srcId="{F2383B00-F16F-4C32-B0D4-5FA605F41034}" destId="{7C1B9E45-35DD-4D80-9458-08140391564B}" srcOrd="2" destOrd="0" presId="urn:microsoft.com/office/officeart/2008/layout/NameandTitleOrganizationalChart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1A519BD-4E34-4226-B93C-B3CEC45AEAA9}">
      <dsp:nvSpPr>
        <dsp:cNvPr id="0" name=""/>
        <dsp:cNvSpPr/>
      </dsp:nvSpPr>
      <dsp:spPr>
        <a:xfrm>
          <a:off x="2108217" y="607016"/>
          <a:ext cx="112397" cy="458020"/>
        </a:xfrm>
        <a:custGeom>
          <a:avLst/>
          <a:gdLst/>
          <a:ahLst/>
          <a:cxnLst/>
          <a:rect l="0" t="0" r="0" b="0"/>
          <a:pathLst>
            <a:path>
              <a:moveTo>
                <a:pt x="112397" y="0"/>
              </a:moveTo>
              <a:lnTo>
                <a:pt x="112397" y="458020"/>
              </a:lnTo>
              <a:lnTo>
                <a:pt x="0" y="458020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729AAD3-2DCC-4A5E-BC3E-2BA2465AC349}">
      <dsp:nvSpPr>
        <dsp:cNvPr id="0" name=""/>
        <dsp:cNvSpPr/>
      </dsp:nvSpPr>
      <dsp:spPr>
        <a:xfrm>
          <a:off x="4015688" y="1801256"/>
          <a:ext cx="91440" cy="204724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04724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7ADA4D7-A63C-4B3B-A645-5D7FA2C632EA}">
      <dsp:nvSpPr>
        <dsp:cNvPr id="0" name=""/>
        <dsp:cNvSpPr/>
      </dsp:nvSpPr>
      <dsp:spPr>
        <a:xfrm>
          <a:off x="2220614" y="607016"/>
          <a:ext cx="1840794" cy="83990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57232"/>
              </a:lnTo>
              <a:lnTo>
                <a:pt x="1840794" y="757232"/>
              </a:lnTo>
              <a:lnTo>
                <a:pt x="1840794" y="839909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07CED5D-829E-4033-AF53-E824DBA6817E}">
      <dsp:nvSpPr>
        <dsp:cNvPr id="0" name=""/>
        <dsp:cNvSpPr/>
      </dsp:nvSpPr>
      <dsp:spPr>
        <a:xfrm>
          <a:off x="2220614" y="607016"/>
          <a:ext cx="922645" cy="83990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57232"/>
              </a:lnTo>
              <a:lnTo>
                <a:pt x="922645" y="757232"/>
              </a:lnTo>
              <a:lnTo>
                <a:pt x="922645" y="839909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F501036-1E47-424A-B801-12819058427C}">
      <dsp:nvSpPr>
        <dsp:cNvPr id="0" name=""/>
        <dsp:cNvSpPr/>
      </dsp:nvSpPr>
      <dsp:spPr>
        <a:xfrm>
          <a:off x="2174894" y="607016"/>
          <a:ext cx="91440" cy="839909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757232"/>
              </a:lnTo>
              <a:lnTo>
                <a:pt x="50217" y="757232"/>
              </a:lnTo>
              <a:lnTo>
                <a:pt x="50217" y="839909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8444A67-7BA8-425A-97A5-C9B0B0A56F38}">
      <dsp:nvSpPr>
        <dsp:cNvPr id="0" name=""/>
        <dsp:cNvSpPr/>
      </dsp:nvSpPr>
      <dsp:spPr>
        <a:xfrm>
          <a:off x="1306963" y="607016"/>
          <a:ext cx="913650" cy="839909"/>
        </a:xfrm>
        <a:custGeom>
          <a:avLst/>
          <a:gdLst/>
          <a:ahLst/>
          <a:cxnLst/>
          <a:rect l="0" t="0" r="0" b="0"/>
          <a:pathLst>
            <a:path>
              <a:moveTo>
                <a:pt x="913650" y="0"/>
              </a:moveTo>
              <a:lnTo>
                <a:pt x="913650" y="757232"/>
              </a:lnTo>
              <a:lnTo>
                <a:pt x="0" y="757232"/>
              </a:lnTo>
              <a:lnTo>
                <a:pt x="0" y="839909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28122B2-74E5-455A-84A7-D21A93346270}">
      <dsp:nvSpPr>
        <dsp:cNvPr id="0" name=""/>
        <dsp:cNvSpPr/>
      </dsp:nvSpPr>
      <dsp:spPr>
        <a:xfrm>
          <a:off x="388815" y="607016"/>
          <a:ext cx="1831798" cy="839909"/>
        </a:xfrm>
        <a:custGeom>
          <a:avLst/>
          <a:gdLst/>
          <a:ahLst/>
          <a:cxnLst/>
          <a:rect l="0" t="0" r="0" b="0"/>
          <a:pathLst>
            <a:path>
              <a:moveTo>
                <a:pt x="1831798" y="0"/>
              </a:moveTo>
              <a:lnTo>
                <a:pt x="1831798" y="757232"/>
              </a:lnTo>
              <a:lnTo>
                <a:pt x="0" y="757232"/>
              </a:lnTo>
              <a:lnTo>
                <a:pt x="0" y="839909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7DDBB36-F6DA-43EC-8F78-E6528F13DF46}">
      <dsp:nvSpPr>
        <dsp:cNvPr id="0" name=""/>
        <dsp:cNvSpPr/>
      </dsp:nvSpPr>
      <dsp:spPr>
        <a:xfrm>
          <a:off x="1878435" y="343518"/>
          <a:ext cx="684358" cy="26349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5000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700" kern="1200"/>
            <a:t>FAZ ENERGY   - MMN</a:t>
          </a:r>
        </a:p>
      </dsp:txBody>
      <dsp:txXfrm>
        <a:off x="1878435" y="343518"/>
        <a:ext cx="684358" cy="263497"/>
      </dsp:txXfrm>
    </dsp:sp>
    <dsp:sp modelId="{4972E6BF-F012-4BC0-A7AA-56DEC555A327}">
      <dsp:nvSpPr>
        <dsp:cNvPr id="0" name=""/>
        <dsp:cNvSpPr/>
      </dsp:nvSpPr>
      <dsp:spPr>
        <a:xfrm flipH="1">
          <a:off x="1905614" y="602081"/>
          <a:ext cx="633913" cy="179539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marL="0" lvl="0" indent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700" kern="1200"/>
            <a:t>Conselho</a:t>
          </a:r>
        </a:p>
      </dsp:txBody>
      <dsp:txXfrm>
        <a:off x="1905614" y="602081"/>
        <a:ext cx="633913" cy="179539"/>
      </dsp:txXfrm>
    </dsp:sp>
    <dsp:sp modelId="{820B73E8-7E2F-478E-A3C8-9087379CE2EB}">
      <dsp:nvSpPr>
        <dsp:cNvPr id="0" name=""/>
        <dsp:cNvSpPr/>
      </dsp:nvSpPr>
      <dsp:spPr>
        <a:xfrm>
          <a:off x="46636" y="1446926"/>
          <a:ext cx="684358" cy="35433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5000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700" kern="1200"/>
            <a:t>FINANCEIRO</a:t>
          </a:r>
        </a:p>
      </dsp:txBody>
      <dsp:txXfrm>
        <a:off x="46636" y="1446926"/>
        <a:ext cx="684358" cy="354330"/>
      </dsp:txXfrm>
    </dsp:sp>
    <dsp:sp modelId="{998206A8-F70D-476A-9481-8F13BF90A184}">
      <dsp:nvSpPr>
        <dsp:cNvPr id="0" name=""/>
        <dsp:cNvSpPr/>
      </dsp:nvSpPr>
      <dsp:spPr>
        <a:xfrm>
          <a:off x="183508" y="1722516"/>
          <a:ext cx="615922" cy="11811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marL="0" lvl="0" indent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pt-BR" sz="700" kern="1200"/>
        </a:p>
      </dsp:txBody>
      <dsp:txXfrm>
        <a:off x="183508" y="1722516"/>
        <a:ext cx="615922" cy="118110"/>
      </dsp:txXfrm>
    </dsp:sp>
    <dsp:sp modelId="{85B51711-A503-4CBE-B791-D1F13D997FC2}">
      <dsp:nvSpPr>
        <dsp:cNvPr id="0" name=""/>
        <dsp:cNvSpPr/>
      </dsp:nvSpPr>
      <dsp:spPr>
        <a:xfrm>
          <a:off x="964784" y="1446926"/>
          <a:ext cx="684358" cy="35433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5000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700" kern="1200"/>
            <a:t>GENTE E GESTÃO</a:t>
          </a:r>
        </a:p>
      </dsp:txBody>
      <dsp:txXfrm>
        <a:off x="964784" y="1446926"/>
        <a:ext cx="684358" cy="354330"/>
      </dsp:txXfrm>
    </dsp:sp>
    <dsp:sp modelId="{041DA2F2-726F-4D37-9144-B80401C41643}">
      <dsp:nvSpPr>
        <dsp:cNvPr id="0" name=""/>
        <dsp:cNvSpPr/>
      </dsp:nvSpPr>
      <dsp:spPr>
        <a:xfrm>
          <a:off x="1101656" y="1722516"/>
          <a:ext cx="615922" cy="11811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marL="0" lvl="0" indent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pt-BR" sz="700" kern="1200"/>
        </a:p>
      </dsp:txBody>
      <dsp:txXfrm>
        <a:off x="1101656" y="1722516"/>
        <a:ext cx="615922" cy="118110"/>
      </dsp:txXfrm>
    </dsp:sp>
    <dsp:sp modelId="{7D0F215D-CFD1-417D-A0D7-900FC5F64CF0}">
      <dsp:nvSpPr>
        <dsp:cNvPr id="0" name=""/>
        <dsp:cNvSpPr/>
      </dsp:nvSpPr>
      <dsp:spPr>
        <a:xfrm>
          <a:off x="1882932" y="1446926"/>
          <a:ext cx="684358" cy="35433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5000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700" kern="1200"/>
            <a:t>Marketing</a:t>
          </a:r>
        </a:p>
      </dsp:txBody>
      <dsp:txXfrm>
        <a:off x="1882932" y="1446926"/>
        <a:ext cx="684358" cy="354330"/>
      </dsp:txXfrm>
    </dsp:sp>
    <dsp:sp modelId="{BD1D03C9-B43E-48F4-B40E-39653A2C5A58}">
      <dsp:nvSpPr>
        <dsp:cNvPr id="0" name=""/>
        <dsp:cNvSpPr/>
      </dsp:nvSpPr>
      <dsp:spPr>
        <a:xfrm>
          <a:off x="2019804" y="1722516"/>
          <a:ext cx="615922" cy="11811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marL="0" lvl="0" indent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700" kern="1200"/>
            <a:t>Matheus</a:t>
          </a:r>
        </a:p>
      </dsp:txBody>
      <dsp:txXfrm>
        <a:off x="2019804" y="1722516"/>
        <a:ext cx="615922" cy="118110"/>
      </dsp:txXfrm>
    </dsp:sp>
    <dsp:sp modelId="{D283A4F8-A92B-4D48-8654-9BE2CC91AE14}">
      <dsp:nvSpPr>
        <dsp:cNvPr id="0" name=""/>
        <dsp:cNvSpPr/>
      </dsp:nvSpPr>
      <dsp:spPr>
        <a:xfrm>
          <a:off x="2801081" y="1446926"/>
          <a:ext cx="684358" cy="35433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5000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700" kern="1200"/>
            <a:t>T.I</a:t>
          </a:r>
        </a:p>
      </dsp:txBody>
      <dsp:txXfrm>
        <a:off x="2801081" y="1446926"/>
        <a:ext cx="684358" cy="354330"/>
      </dsp:txXfrm>
    </dsp:sp>
    <dsp:sp modelId="{01E0E14C-31BC-4E17-918B-D3545CBAA247}">
      <dsp:nvSpPr>
        <dsp:cNvPr id="0" name=""/>
        <dsp:cNvSpPr/>
      </dsp:nvSpPr>
      <dsp:spPr>
        <a:xfrm>
          <a:off x="2937952" y="1722516"/>
          <a:ext cx="615922" cy="11811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marL="0" lvl="0" indent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700" kern="1200"/>
            <a:t>Aquiles</a:t>
          </a:r>
        </a:p>
      </dsp:txBody>
      <dsp:txXfrm>
        <a:off x="2937952" y="1722516"/>
        <a:ext cx="615922" cy="118110"/>
      </dsp:txXfrm>
    </dsp:sp>
    <dsp:sp modelId="{1374532A-B366-4134-927A-5BF5AA20F6F3}">
      <dsp:nvSpPr>
        <dsp:cNvPr id="0" name=""/>
        <dsp:cNvSpPr/>
      </dsp:nvSpPr>
      <dsp:spPr>
        <a:xfrm>
          <a:off x="3719229" y="1446926"/>
          <a:ext cx="684358" cy="35433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5000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700" kern="1200"/>
            <a:t>Comercial</a:t>
          </a:r>
        </a:p>
      </dsp:txBody>
      <dsp:txXfrm>
        <a:off x="3719229" y="1446926"/>
        <a:ext cx="684358" cy="354330"/>
      </dsp:txXfrm>
    </dsp:sp>
    <dsp:sp modelId="{0B08F1BD-12DF-4296-8034-0605D72EBBDE}">
      <dsp:nvSpPr>
        <dsp:cNvPr id="0" name=""/>
        <dsp:cNvSpPr/>
      </dsp:nvSpPr>
      <dsp:spPr>
        <a:xfrm>
          <a:off x="3856101" y="1722516"/>
          <a:ext cx="615922" cy="11811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marL="0" lvl="0" indent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700" kern="1200"/>
            <a:t>Raphael</a:t>
          </a:r>
        </a:p>
      </dsp:txBody>
      <dsp:txXfrm>
        <a:off x="3856101" y="1722516"/>
        <a:ext cx="615922" cy="118110"/>
      </dsp:txXfrm>
    </dsp:sp>
    <dsp:sp modelId="{39EA3EF0-79FD-4114-82BA-C4CE4BBBD0B9}">
      <dsp:nvSpPr>
        <dsp:cNvPr id="0" name=""/>
        <dsp:cNvSpPr/>
      </dsp:nvSpPr>
      <dsp:spPr>
        <a:xfrm>
          <a:off x="3719229" y="2005980"/>
          <a:ext cx="684358" cy="35433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5000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700" kern="1200"/>
            <a:t>Comercial - Executivo</a:t>
          </a:r>
        </a:p>
      </dsp:txBody>
      <dsp:txXfrm>
        <a:off x="3719229" y="2005980"/>
        <a:ext cx="684358" cy="354330"/>
      </dsp:txXfrm>
    </dsp:sp>
    <dsp:sp modelId="{0EEBD12B-2D08-4308-BC85-00C3C8F12673}">
      <dsp:nvSpPr>
        <dsp:cNvPr id="0" name=""/>
        <dsp:cNvSpPr/>
      </dsp:nvSpPr>
      <dsp:spPr>
        <a:xfrm>
          <a:off x="3856101" y="2281571"/>
          <a:ext cx="615922" cy="11811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marL="0" lvl="0" indent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700" kern="1200"/>
            <a:t>Tyson</a:t>
          </a:r>
        </a:p>
      </dsp:txBody>
      <dsp:txXfrm>
        <a:off x="3856101" y="2281571"/>
        <a:ext cx="615922" cy="118110"/>
      </dsp:txXfrm>
    </dsp:sp>
    <dsp:sp modelId="{4E66D26E-2168-402B-90A5-9613121220FF}">
      <dsp:nvSpPr>
        <dsp:cNvPr id="0" name=""/>
        <dsp:cNvSpPr/>
      </dsp:nvSpPr>
      <dsp:spPr>
        <a:xfrm>
          <a:off x="1423858" y="887871"/>
          <a:ext cx="684358" cy="35433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5000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700" kern="1200"/>
            <a:t>Controler</a:t>
          </a:r>
        </a:p>
      </dsp:txBody>
      <dsp:txXfrm>
        <a:off x="1423858" y="887871"/>
        <a:ext cx="684358" cy="354330"/>
      </dsp:txXfrm>
    </dsp:sp>
    <dsp:sp modelId="{BF9E59A3-51A7-4489-898A-26278D050A23}">
      <dsp:nvSpPr>
        <dsp:cNvPr id="0" name=""/>
        <dsp:cNvSpPr/>
      </dsp:nvSpPr>
      <dsp:spPr>
        <a:xfrm>
          <a:off x="1560730" y="1163461"/>
          <a:ext cx="615922" cy="11811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marL="0" lvl="0" indent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700" kern="1200"/>
            <a:t>Tiago</a:t>
          </a:r>
        </a:p>
      </dsp:txBody>
      <dsp:txXfrm>
        <a:off x="1560730" y="1163461"/>
        <a:ext cx="615922" cy="118110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1A519BD-4E34-4226-B93C-B3CEC45AEAA9}">
      <dsp:nvSpPr>
        <dsp:cNvPr id="0" name=""/>
        <dsp:cNvSpPr/>
      </dsp:nvSpPr>
      <dsp:spPr>
        <a:xfrm>
          <a:off x="2095541" y="522041"/>
          <a:ext cx="249211" cy="540094"/>
        </a:xfrm>
        <a:custGeom>
          <a:avLst/>
          <a:gdLst/>
          <a:ahLst/>
          <a:cxnLst/>
          <a:rect l="0" t="0" r="0" b="0"/>
          <a:pathLst>
            <a:path>
              <a:moveTo>
                <a:pt x="249211" y="0"/>
              </a:moveTo>
              <a:lnTo>
                <a:pt x="249211" y="540094"/>
              </a:lnTo>
              <a:lnTo>
                <a:pt x="0" y="540094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7ADA4D7-A63C-4B3B-A645-5D7FA2C632EA}">
      <dsp:nvSpPr>
        <dsp:cNvPr id="0" name=""/>
        <dsp:cNvSpPr/>
      </dsp:nvSpPr>
      <dsp:spPr>
        <a:xfrm>
          <a:off x="2344753" y="522041"/>
          <a:ext cx="611732" cy="126283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87052"/>
              </a:lnTo>
              <a:lnTo>
                <a:pt x="611732" y="1087052"/>
              </a:lnTo>
              <a:lnTo>
                <a:pt x="611732" y="1262831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07CED5D-829E-4033-AF53-E824DBA6817E}">
      <dsp:nvSpPr>
        <dsp:cNvPr id="0" name=""/>
        <dsp:cNvSpPr/>
      </dsp:nvSpPr>
      <dsp:spPr>
        <a:xfrm>
          <a:off x="1677416" y="522041"/>
          <a:ext cx="667337" cy="1262914"/>
        </a:xfrm>
        <a:custGeom>
          <a:avLst/>
          <a:gdLst/>
          <a:ahLst/>
          <a:cxnLst/>
          <a:rect l="0" t="0" r="0" b="0"/>
          <a:pathLst>
            <a:path>
              <a:moveTo>
                <a:pt x="667337" y="0"/>
              </a:moveTo>
              <a:lnTo>
                <a:pt x="667337" y="1087135"/>
              </a:lnTo>
              <a:lnTo>
                <a:pt x="0" y="1087135"/>
              </a:lnTo>
              <a:lnTo>
                <a:pt x="0" y="1262914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7DDBB36-F6DA-43EC-8F78-E6528F13DF46}">
      <dsp:nvSpPr>
        <dsp:cNvPr id="0" name=""/>
        <dsp:cNvSpPr/>
      </dsp:nvSpPr>
      <dsp:spPr>
        <a:xfrm>
          <a:off x="1840527" y="117362"/>
          <a:ext cx="1008453" cy="404679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106305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000" kern="1200"/>
            <a:t>Fazenda do Sol - Engenharia</a:t>
          </a:r>
        </a:p>
      </dsp:txBody>
      <dsp:txXfrm>
        <a:off x="1840527" y="117362"/>
        <a:ext cx="1008453" cy="404679"/>
      </dsp:txXfrm>
    </dsp:sp>
    <dsp:sp modelId="{4972E6BF-F012-4BC0-A7AA-56DEC555A327}">
      <dsp:nvSpPr>
        <dsp:cNvPr id="0" name=""/>
        <dsp:cNvSpPr/>
      </dsp:nvSpPr>
      <dsp:spPr>
        <a:xfrm flipH="1">
          <a:off x="1923290" y="477651"/>
          <a:ext cx="835584" cy="15412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5400" tIns="6350" rIns="25400" bIns="6350" numCol="1" spcCol="1270" anchor="ctr" anchorCtr="0">
          <a:noAutofit/>
        </a:bodyPr>
        <a:lstStyle/>
        <a:p>
          <a:pPr marL="0" lvl="0" indent="0" algn="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000" kern="1200"/>
            <a:t>Conselho</a:t>
          </a:r>
        </a:p>
      </dsp:txBody>
      <dsp:txXfrm>
        <a:off x="1923290" y="477651"/>
        <a:ext cx="835584" cy="154120"/>
      </dsp:txXfrm>
    </dsp:sp>
    <dsp:sp modelId="{D283A4F8-A92B-4D48-8654-9BE2CC91AE14}">
      <dsp:nvSpPr>
        <dsp:cNvPr id="0" name=""/>
        <dsp:cNvSpPr/>
      </dsp:nvSpPr>
      <dsp:spPr>
        <a:xfrm>
          <a:off x="1149211" y="1784955"/>
          <a:ext cx="1056410" cy="450836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106305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000" kern="1200"/>
            <a:t>Engenharia</a:t>
          </a:r>
        </a:p>
      </dsp:txBody>
      <dsp:txXfrm>
        <a:off x="1149211" y="1784955"/>
        <a:ext cx="1056410" cy="450836"/>
      </dsp:txXfrm>
    </dsp:sp>
    <dsp:sp modelId="{01E0E14C-31BC-4E17-918B-D3545CBAA247}">
      <dsp:nvSpPr>
        <dsp:cNvPr id="0" name=""/>
        <dsp:cNvSpPr/>
      </dsp:nvSpPr>
      <dsp:spPr>
        <a:xfrm>
          <a:off x="1374803" y="2160017"/>
          <a:ext cx="947783" cy="151175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900" kern="1200"/>
            <a:t>Maxuel</a:t>
          </a:r>
        </a:p>
      </dsp:txBody>
      <dsp:txXfrm>
        <a:off x="1374803" y="2160017"/>
        <a:ext cx="947783" cy="151175"/>
      </dsp:txXfrm>
    </dsp:sp>
    <dsp:sp modelId="{1374532A-B366-4134-927A-5BF5AA20F6F3}">
      <dsp:nvSpPr>
        <dsp:cNvPr id="0" name=""/>
        <dsp:cNvSpPr/>
      </dsp:nvSpPr>
      <dsp:spPr>
        <a:xfrm>
          <a:off x="2471072" y="1784872"/>
          <a:ext cx="970826" cy="439739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106305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000" kern="1200"/>
            <a:t>???</a:t>
          </a:r>
        </a:p>
      </dsp:txBody>
      <dsp:txXfrm>
        <a:off x="2471072" y="1784872"/>
        <a:ext cx="970826" cy="439739"/>
      </dsp:txXfrm>
    </dsp:sp>
    <dsp:sp modelId="{0B08F1BD-12DF-4296-8034-0605D72EBBDE}">
      <dsp:nvSpPr>
        <dsp:cNvPr id="0" name=""/>
        <dsp:cNvSpPr/>
      </dsp:nvSpPr>
      <dsp:spPr>
        <a:xfrm>
          <a:off x="2630400" y="2193608"/>
          <a:ext cx="947783" cy="151175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900" kern="1200"/>
            <a:t>Raphael</a:t>
          </a:r>
        </a:p>
      </dsp:txBody>
      <dsp:txXfrm>
        <a:off x="2630400" y="2193608"/>
        <a:ext cx="947783" cy="151175"/>
      </dsp:txXfrm>
    </dsp:sp>
    <dsp:sp modelId="{4E66D26E-2168-402B-90A5-9613121220FF}">
      <dsp:nvSpPr>
        <dsp:cNvPr id="0" name=""/>
        <dsp:cNvSpPr/>
      </dsp:nvSpPr>
      <dsp:spPr>
        <a:xfrm>
          <a:off x="1068217" y="818836"/>
          <a:ext cx="1027324" cy="48659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106305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000" kern="1200"/>
            <a:t>Controler</a:t>
          </a:r>
        </a:p>
      </dsp:txBody>
      <dsp:txXfrm>
        <a:off x="1068217" y="818836"/>
        <a:ext cx="1027324" cy="486597"/>
      </dsp:txXfrm>
    </dsp:sp>
    <dsp:sp modelId="{BF9E59A3-51A7-4489-898A-26278D050A23}">
      <dsp:nvSpPr>
        <dsp:cNvPr id="0" name=""/>
        <dsp:cNvSpPr/>
      </dsp:nvSpPr>
      <dsp:spPr>
        <a:xfrm>
          <a:off x="1240127" y="1243085"/>
          <a:ext cx="947783" cy="151175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2860" tIns="5715" rIns="22860" bIns="5715" numCol="1" spcCol="1270" anchor="ctr" anchorCtr="0">
          <a:noAutofit/>
        </a:bodyPr>
        <a:lstStyle/>
        <a:p>
          <a:pPr marL="0" lvl="0" indent="0" algn="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900" kern="1200"/>
            <a:t>Tiago</a:t>
          </a:r>
        </a:p>
      </dsp:txBody>
      <dsp:txXfrm>
        <a:off x="1240127" y="1243085"/>
        <a:ext cx="947783" cy="151175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8/layout/NameandTitleOrganizationalChart">
  <dgm:title val=""/>
  <dgm:desc val=""/>
  <dgm:catLst>
    <dgm:cat type="hierarchy" pri="125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 fact="0.9"/>
                  <dgm:constr type="l" for="ch" forName="titleText1" refType="w" fact="0.2"/>
                  <dgm:constr type="t" for="ch" forName="titleText1" refType="h" fact="0.7"/>
                  <dgm:constr type="w" for="ch" forName="titleText1" refType="w" fact="0.9"/>
                  <dgm:constr type="h" for="ch" forName="titleText1" refType="h" fact="0.3"/>
                  <dgm:constr type="primFontSz" for="des" forName="titleText1" refType="primFontSz" refFor="des" refForName="rootText1" op="lte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 fact="0.9"/>
                  <dgm:constr type="l" for="ch" forName="titleText1" refType="w" fact="0.2"/>
                  <dgm:constr type="t" for="ch" forName="titleText1" refType="h" fact="0.7"/>
                  <dgm:constr type="w" for="ch" forName="titleText1" refType="w" fact="0.9"/>
                  <dgm:constr type="h" for="ch" forName="titleText1" refType="h" fact="0.3"/>
                  <dgm:constr type="primFontSz" for="des" forName="titleText1" refType="primFontSz" refFor="des" refForName="rootText1" op="lte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 fact="0.9"/>
                  <dgm:constr type="l" for="ch" forName="titleText1" refType="w" fact="0.2"/>
                  <dgm:constr type="t" for="ch" forName="titleText1" refType="h" fact="0.7"/>
                  <dgm:constr type="w" for="ch" forName="titleText1" refType="w" fact="0.9"/>
                  <dgm:constr type="h" for="ch" forName="titleText1" refType="h" fact="0.3"/>
                  <dgm:constr type="primFontSz" for="des" forName="titleText1" refType="primFontSz" refFor="des" refForName="rootText1" op="lte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 fact="0.9"/>
                  <dgm:constr type="l" for="ch" forName="titleText1" refType="w" fact="0.2"/>
                  <dgm:constr type="t" for="ch" forName="titleText1" refType="h" fact="0.7"/>
                  <dgm:constr type="w" for="ch" forName="titleText1" refType="w" fact="0.9"/>
                  <dgm:constr type="h" for="ch" forName="titleText1" refType="h" fact="0.3"/>
                  <dgm:constr type="primFontSz" for="des" forName="titleText1" refType="primFontSz" refFor="des" refForName="rootText1" op="lte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Max/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h" fact="0.4"/>
              </dgm:constrLst>
              <dgm:ruleLst>
                <dgm:rule type="primFontSz" val="5" fact="NaN" max="NaN"/>
              </dgm:ruleLst>
            </dgm:layoutNode>
            <dgm:layoutNode name="titleText1" styleLbl="fgAcc0">
              <dgm:varLst>
                <dgm:chMax val="0"/>
                <dgm:chPref val="0"/>
              </dgm:varLst>
              <dgm:alg type="tx">
                <dgm:param type="parTxLTRAlign" val="r"/>
              </dgm:alg>
              <dgm:shape xmlns:r="http://schemas.openxmlformats.org/officeDocument/2006/relationships" type="rect" r:blip="">
                <dgm:adjLst/>
              </dgm:shape>
              <dgm:presOf axis="followSib" ptType="sibTrans" hideLastTrans="0" cnt="1"/>
              <dgm:constrLst>
                <dgm:constr type="primFontSz" val="65"/>
                <dgm:constr type="lMarg" refType="primFontSz" fact="0.2"/>
                <dgm:constr type="rMarg" refType="primFontSz" fact="0.2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1" func="var" arg="hierBranch" op="equ" val="hang">
                    <dgm:layoutNode name="Name42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3">
                    <dgm:layoutNode name="Name44">
                      <dgm:choose name="Name45">
                        <dgm:if name="Name46" axis="self" func="depth" op="lte" val="2">
                          <dgm:choose name="Name47">
                            <dgm:if name="Name4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4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0">
                          <dgm:choose name="Name51">
                            <dgm:if name="Name52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3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54">
                  <dgm:if name="Name55" func="var" arg="hierBranch" op="equ" val="l">
                    <dgm:choose name="Name56">
                      <dgm:if name="Name57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58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59" func="var" arg="hierBranch" op="equ" val="r">
                    <dgm:choose name="Name60">
                      <dgm:if name="Name61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2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3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64" func="var" arg="hierBranch" op="equ" val="init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else name="Name65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66">
                    <dgm:if name="Name67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 fact="0.9"/>
                        <dgm:constr type="l" for="ch" forName="titleText2" refType="w" fact="0.2"/>
                        <dgm:constr type="t" for="ch" forName="titleText2" refType="h" fact="0.7"/>
                        <dgm:constr type="w" for="ch" forName="titleText2" refType="w" fact="0.9"/>
                        <dgm:constr type="h" for="ch" forName="titleText2" refType="h" fact="0.3"/>
                        <dgm:constr type="primFontSz" for="des" forName="titleText2" refType="primFontSz" refFor="des" refForName="rootText1" op="lte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68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 fact="0.9"/>
                        <dgm:constr type="l" for="ch" forName="titleText2" refType="w" fact="0.2"/>
                        <dgm:constr type="t" for="ch" forName="titleText2" refType="h" fact="0.7"/>
                        <dgm:constr type="w" for="ch" forName="titleText2" refType="w" fact="0.9"/>
                        <dgm:constr type="h" for="ch" forName="titleText2" refType="h" fact="0.3"/>
                        <dgm:constr type="primFontSz" for="des" forName="titleText2" refType="primFontSz" refFor="des" refForName="rootText1" op="lte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69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 fact="0.9"/>
                        <dgm:constr type="l" for="ch" forName="titleText2" refType="w" fact="0.2"/>
                        <dgm:constr type="t" for="ch" forName="titleText2" refType="h" fact="0.7"/>
                        <dgm:constr type="w" for="ch" forName="titleText2" refType="w" fact="0.9"/>
                        <dgm:constr type="h" for="ch" forName="titleText2" refType="h" fact="0.3"/>
                        <dgm:constr type="primFontSz" for="des" forName="titleText2" refType="primFontSz" refFor="des" refForName="rootText1" op="lte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70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 fact="0.9"/>
                        <dgm:constr type="l" for="ch" forName="titleText2" refType="w" fact="0.2"/>
                        <dgm:constr type="t" for="ch" forName="titleText2" refType="h" fact="0.7"/>
                        <dgm:constr type="w" for="ch" forName="titleText2" refType="w" fact="0.9"/>
                        <dgm:constr type="h" for="ch" forName="titleText2" refType="h" fact="0.3"/>
                        <dgm:constr type="primFontSz" for="des" forName="titleText2" refType="primFontSz" refFor="des" refForName="rootText1" op="lte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 styleLbl="node1">
                    <dgm:varLst>
                      <dgm:chMax/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h" fact="0.4"/>
                    </dgm:constrLst>
                    <dgm:ruleLst>
                      <dgm:rule type="primFontSz" val="5" fact="NaN" max="NaN"/>
                    </dgm:ruleLst>
                  </dgm:layoutNode>
                  <dgm:layoutNode name="titleText2" styleLbl="fgAcc1">
                    <dgm:varLst>
                      <dgm:chMax val="0"/>
                      <dgm:chPref val="0"/>
                    </dgm:varLst>
                    <dgm:alg type="tx">
                      <dgm:param type="parTxLTRAlign" val="r"/>
                    </dgm:alg>
                    <dgm:shape xmlns:r="http://schemas.openxmlformats.org/officeDocument/2006/relationships" type="rect" r:blip="">
                      <dgm:adjLst/>
                    </dgm:shape>
                    <dgm:presOf axis="followSib" ptType="sibTrans" hideLastTrans="0" cnt="1"/>
                    <dgm:constrLst>
                      <dgm:constr type="primFontSz" val="65"/>
                      <dgm:constr type="lMarg" refType="primFontSz" fact="0.2"/>
                      <dgm:constr type="rMarg" refType="primFontSz" fact="0.2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71">
                    <dgm:if name="Name72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73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74" func="var" arg="hierBranch" op="equ" val="hang">
                      <dgm:choose name="Name75">
                        <dgm:if name="Name76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77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78" func="var" arg="hierBranch" op="equ" val="std">
                      <dgm:choose name="Name79">
                        <dgm:if name="Name80" func="var" arg="dir" op="equ" val="norm">
                          <dgm:alg type="hierChild"/>
                        </dgm:if>
                        <dgm:else name="Name81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82" func="var" arg="hierBranch" op="equ" val="init">
                      <dgm:choose name="Name83">
                        <dgm:if name="Name84" func="var" arg="dir" op="equ" val="norm">
                          <dgm:alg type="hierChild"/>
                        </dgm:if>
                        <dgm:else name="Name85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else name="Name86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87" ref="rep2a"/>
                </dgm:layoutNode>
                <dgm:layoutNode name="hierChild5">
                  <dgm:choose name="Name88">
                    <dgm:if name="Name89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90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91" ref="rep2b"/>
                </dgm:layoutNode>
              </dgm:layoutNode>
            </dgm:forEach>
          </dgm:layoutNode>
          <dgm:layoutNode name="hierChild3">
            <dgm:choose name="Name92">
              <dgm:if name="Name93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94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95" axis="precedSib" ptType="parTrans" st="-1" cnt="1">
                <dgm:layoutNode name="Name96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97">
                  <dgm:if name="Name98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99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00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01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02" func="var" arg="hierBranch" op="equ" val="init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else name="Name103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04">
                    <dgm:if name="Name105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 fact="0.9"/>
                        <dgm:constr type="l" for="ch" forName="titleText3" refType="w" fact="0.2"/>
                        <dgm:constr type="t" for="ch" forName="titleText3" refType="h" fact="0.7"/>
                        <dgm:constr type="w" for="ch" forName="titleText3" refType="w" fact="0.9"/>
                        <dgm:constr type="h" for="ch" forName="titleText3" refType="h" fact="0.3"/>
                        <dgm:constr type="primFontSz" for="des" forName="titleText3" refType="primFontSz" refFor="des" refForName="rootText3" op="lte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06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 fact="0.9"/>
                        <dgm:constr type="l" for="ch" forName="titleText3" refType="w" fact="0.2"/>
                        <dgm:constr type="t" for="ch" forName="titleText3" refType="h" fact="0.7"/>
                        <dgm:constr type="w" for="ch" forName="titleText3" refType="w" fact="0.9"/>
                        <dgm:constr type="h" for="ch" forName="titleText3" refType="h" fact="0.3"/>
                        <dgm:constr type="primFontSz" for="des" forName="titleText3" refType="primFontSz" refFor="des" refForName="rootText3" op="lte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07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 fact="0.9"/>
                        <dgm:constr type="l" for="ch" forName="titleText3" refType="w" fact="0.2"/>
                        <dgm:constr type="t" for="ch" forName="titleText3" refType="h" fact="0.7"/>
                        <dgm:constr type="w" for="ch" forName="titleText3" refType="w" fact="0.9"/>
                        <dgm:constr type="h" for="ch" forName="titleText3" refType="h" fact="0.3"/>
                        <dgm:constr type="primFontSz" for="des" forName="titleText3" refType="primFontSz" refFor="des" refForName="rootText3" op="lte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08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 fact="0.9"/>
                        <dgm:constr type="l" for="ch" forName="titleText3" refType="w" fact="0.2"/>
                        <dgm:constr type="t" for="ch" forName="titleText3" refType="h" fact="0.7"/>
                        <dgm:constr type="w" for="ch" forName="titleText3" refType="w" fact="0.9"/>
                        <dgm:constr type="h" for="ch" forName="titleText3" refType="h" fact="0.3"/>
                        <dgm:constr type="primFontSz" for="des" forName="titleText3" refType="primFontSz" refFor="des" refForName="rootText3" op="lte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 styleLbl="asst1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h" fact="0.4"/>
                    </dgm:constrLst>
                    <dgm:ruleLst>
                      <dgm:rule type="primFontSz" val="5" fact="NaN" max="NaN"/>
                    </dgm:ruleLst>
                  </dgm:layoutNode>
                  <dgm:layoutNode name="titleText3" styleLbl="fgAcc2">
                    <dgm:varLst>
                      <dgm:chMax val="0"/>
                      <dgm:chPref val="0"/>
                    </dgm:varLst>
                    <dgm:alg type="tx">
                      <dgm:param type="parTxLTRAlign" val="r"/>
                    </dgm:alg>
                    <dgm:shape xmlns:r="http://schemas.openxmlformats.org/officeDocument/2006/relationships" type="rect" r:blip="">
                      <dgm:adjLst/>
                    </dgm:shape>
                    <dgm:presOf axis="followSib" ptType="sibTrans" hideLastTrans="0" cnt="1"/>
                    <dgm:constrLst>
                      <dgm:constr type="primFontSz" val="65"/>
                      <dgm:constr type="lMarg" refType="primFontSz" fact="0.2"/>
                      <dgm:constr type="rMarg" refType="primFontSz" fact="0.2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09">
                    <dgm:if name="Name110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11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12" func="var" arg="hierBranch" op="equ" val="hang">
                      <dgm:choose name="Name113">
                        <dgm:if name="Name114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15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16" func="var" arg="hierBranch" op="equ" val="std">
                      <dgm:choose name="Name117">
                        <dgm:if name="Name118" func="var" arg="dir" op="equ" val="norm">
                          <dgm:alg type="hierChild"/>
                        </dgm:if>
                        <dgm:else name="Name119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20" func="var" arg="hierBranch" op="equ" val="init">
                      <dgm:alg type="hierChild"/>
                    </dgm:if>
                    <dgm:else name="Name12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22" ref="rep2a"/>
                </dgm:layoutNode>
                <dgm:layoutNode name="hierChild7">
                  <dgm:choose name="Name123">
                    <dgm:if name="Name12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2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26" ref="rep2b"/>
                </dgm:layoutNode>
              </dgm:layoutNode>
            </dgm:forEach>
          </dgm:layoutNode>
        </dgm:layoutNode>
      </dgm:forEach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8/layout/NameandTitleOrganizationalChart">
  <dgm:title val=""/>
  <dgm:desc val=""/>
  <dgm:catLst>
    <dgm:cat type="hierarchy" pri="125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 fact="0.9"/>
                  <dgm:constr type="l" for="ch" forName="titleText1" refType="w" fact="0.2"/>
                  <dgm:constr type="t" for="ch" forName="titleText1" refType="h" fact="0.7"/>
                  <dgm:constr type="w" for="ch" forName="titleText1" refType="w" fact="0.9"/>
                  <dgm:constr type="h" for="ch" forName="titleText1" refType="h" fact="0.3"/>
                  <dgm:constr type="primFontSz" for="des" forName="titleText1" refType="primFontSz" refFor="des" refForName="rootText1" op="lte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 fact="0.9"/>
                  <dgm:constr type="l" for="ch" forName="titleText1" refType="w" fact="0.2"/>
                  <dgm:constr type="t" for="ch" forName="titleText1" refType="h" fact="0.7"/>
                  <dgm:constr type="w" for="ch" forName="titleText1" refType="w" fact="0.9"/>
                  <dgm:constr type="h" for="ch" forName="titleText1" refType="h" fact="0.3"/>
                  <dgm:constr type="primFontSz" for="des" forName="titleText1" refType="primFontSz" refFor="des" refForName="rootText1" op="lte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 fact="0.9"/>
                  <dgm:constr type="l" for="ch" forName="titleText1" refType="w" fact="0.2"/>
                  <dgm:constr type="t" for="ch" forName="titleText1" refType="h" fact="0.7"/>
                  <dgm:constr type="w" for="ch" forName="titleText1" refType="w" fact="0.9"/>
                  <dgm:constr type="h" for="ch" forName="titleText1" refType="h" fact="0.3"/>
                  <dgm:constr type="primFontSz" for="des" forName="titleText1" refType="primFontSz" refFor="des" refForName="rootText1" op="lte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 fact="0.9"/>
                  <dgm:constr type="l" for="ch" forName="titleText1" refType="w" fact="0.2"/>
                  <dgm:constr type="t" for="ch" forName="titleText1" refType="h" fact="0.7"/>
                  <dgm:constr type="w" for="ch" forName="titleText1" refType="w" fact="0.9"/>
                  <dgm:constr type="h" for="ch" forName="titleText1" refType="h" fact="0.3"/>
                  <dgm:constr type="primFontSz" for="des" forName="titleText1" refType="primFontSz" refFor="des" refForName="rootText1" op="lte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Max/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h" fact="0.4"/>
              </dgm:constrLst>
              <dgm:ruleLst>
                <dgm:rule type="primFontSz" val="5" fact="NaN" max="NaN"/>
              </dgm:ruleLst>
            </dgm:layoutNode>
            <dgm:layoutNode name="titleText1" styleLbl="fgAcc0">
              <dgm:varLst>
                <dgm:chMax val="0"/>
                <dgm:chPref val="0"/>
              </dgm:varLst>
              <dgm:alg type="tx">
                <dgm:param type="parTxLTRAlign" val="r"/>
              </dgm:alg>
              <dgm:shape xmlns:r="http://schemas.openxmlformats.org/officeDocument/2006/relationships" type="rect" r:blip="">
                <dgm:adjLst/>
              </dgm:shape>
              <dgm:presOf axis="followSib" ptType="sibTrans" hideLastTrans="0" cnt="1"/>
              <dgm:constrLst>
                <dgm:constr type="primFontSz" val="65"/>
                <dgm:constr type="lMarg" refType="primFontSz" fact="0.2"/>
                <dgm:constr type="rMarg" refType="primFontSz" fact="0.2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1" func="var" arg="hierBranch" op="equ" val="hang">
                    <dgm:layoutNode name="Name42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3">
                    <dgm:layoutNode name="Name44">
                      <dgm:choose name="Name45">
                        <dgm:if name="Name46" axis="self" func="depth" op="lte" val="2">
                          <dgm:choose name="Name47">
                            <dgm:if name="Name4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4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0">
                          <dgm:choose name="Name51">
                            <dgm:if name="Name52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3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54">
                  <dgm:if name="Name55" func="var" arg="hierBranch" op="equ" val="l">
                    <dgm:choose name="Name56">
                      <dgm:if name="Name57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58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59" func="var" arg="hierBranch" op="equ" val="r">
                    <dgm:choose name="Name60">
                      <dgm:if name="Name61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2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3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64" func="var" arg="hierBranch" op="equ" val="init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else name="Name65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66">
                    <dgm:if name="Name67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 fact="0.9"/>
                        <dgm:constr type="l" for="ch" forName="titleText2" refType="w" fact="0.2"/>
                        <dgm:constr type="t" for="ch" forName="titleText2" refType="h" fact="0.7"/>
                        <dgm:constr type="w" for="ch" forName="titleText2" refType="w" fact="0.9"/>
                        <dgm:constr type="h" for="ch" forName="titleText2" refType="h" fact="0.3"/>
                        <dgm:constr type="primFontSz" for="des" forName="titleText2" refType="primFontSz" refFor="des" refForName="rootText1" op="lte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68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 fact="0.9"/>
                        <dgm:constr type="l" for="ch" forName="titleText2" refType="w" fact="0.2"/>
                        <dgm:constr type="t" for="ch" forName="titleText2" refType="h" fact="0.7"/>
                        <dgm:constr type="w" for="ch" forName="titleText2" refType="w" fact="0.9"/>
                        <dgm:constr type="h" for="ch" forName="titleText2" refType="h" fact="0.3"/>
                        <dgm:constr type="primFontSz" for="des" forName="titleText2" refType="primFontSz" refFor="des" refForName="rootText1" op="lte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69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 fact="0.9"/>
                        <dgm:constr type="l" for="ch" forName="titleText2" refType="w" fact="0.2"/>
                        <dgm:constr type="t" for="ch" forName="titleText2" refType="h" fact="0.7"/>
                        <dgm:constr type="w" for="ch" forName="titleText2" refType="w" fact="0.9"/>
                        <dgm:constr type="h" for="ch" forName="titleText2" refType="h" fact="0.3"/>
                        <dgm:constr type="primFontSz" for="des" forName="titleText2" refType="primFontSz" refFor="des" refForName="rootText1" op="lte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70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 fact="0.9"/>
                        <dgm:constr type="l" for="ch" forName="titleText2" refType="w" fact="0.2"/>
                        <dgm:constr type="t" for="ch" forName="titleText2" refType="h" fact="0.7"/>
                        <dgm:constr type="w" for="ch" forName="titleText2" refType="w" fact="0.9"/>
                        <dgm:constr type="h" for="ch" forName="titleText2" refType="h" fact="0.3"/>
                        <dgm:constr type="primFontSz" for="des" forName="titleText2" refType="primFontSz" refFor="des" refForName="rootText1" op="lte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 styleLbl="node1">
                    <dgm:varLst>
                      <dgm:chMax/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h" fact="0.4"/>
                    </dgm:constrLst>
                    <dgm:ruleLst>
                      <dgm:rule type="primFontSz" val="5" fact="NaN" max="NaN"/>
                    </dgm:ruleLst>
                  </dgm:layoutNode>
                  <dgm:layoutNode name="titleText2" styleLbl="fgAcc1">
                    <dgm:varLst>
                      <dgm:chMax val="0"/>
                      <dgm:chPref val="0"/>
                    </dgm:varLst>
                    <dgm:alg type="tx">
                      <dgm:param type="parTxLTRAlign" val="r"/>
                    </dgm:alg>
                    <dgm:shape xmlns:r="http://schemas.openxmlformats.org/officeDocument/2006/relationships" type="rect" r:blip="">
                      <dgm:adjLst/>
                    </dgm:shape>
                    <dgm:presOf axis="followSib" ptType="sibTrans" hideLastTrans="0" cnt="1"/>
                    <dgm:constrLst>
                      <dgm:constr type="primFontSz" val="65"/>
                      <dgm:constr type="lMarg" refType="primFontSz" fact="0.2"/>
                      <dgm:constr type="rMarg" refType="primFontSz" fact="0.2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71">
                    <dgm:if name="Name72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73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74" func="var" arg="hierBranch" op="equ" val="hang">
                      <dgm:choose name="Name75">
                        <dgm:if name="Name76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77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78" func="var" arg="hierBranch" op="equ" val="std">
                      <dgm:choose name="Name79">
                        <dgm:if name="Name80" func="var" arg="dir" op="equ" val="norm">
                          <dgm:alg type="hierChild"/>
                        </dgm:if>
                        <dgm:else name="Name81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82" func="var" arg="hierBranch" op="equ" val="init">
                      <dgm:choose name="Name83">
                        <dgm:if name="Name84" func="var" arg="dir" op="equ" val="norm">
                          <dgm:alg type="hierChild"/>
                        </dgm:if>
                        <dgm:else name="Name85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else name="Name86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87" ref="rep2a"/>
                </dgm:layoutNode>
                <dgm:layoutNode name="hierChild5">
                  <dgm:choose name="Name88">
                    <dgm:if name="Name89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90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91" ref="rep2b"/>
                </dgm:layoutNode>
              </dgm:layoutNode>
            </dgm:forEach>
          </dgm:layoutNode>
          <dgm:layoutNode name="hierChild3">
            <dgm:choose name="Name92">
              <dgm:if name="Name93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94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95" axis="precedSib" ptType="parTrans" st="-1" cnt="1">
                <dgm:layoutNode name="Name96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97">
                  <dgm:if name="Name98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99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00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01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02" func="var" arg="hierBranch" op="equ" val="init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else name="Name103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04">
                    <dgm:if name="Name105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 fact="0.9"/>
                        <dgm:constr type="l" for="ch" forName="titleText3" refType="w" fact="0.2"/>
                        <dgm:constr type="t" for="ch" forName="titleText3" refType="h" fact="0.7"/>
                        <dgm:constr type="w" for="ch" forName="titleText3" refType="w" fact="0.9"/>
                        <dgm:constr type="h" for="ch" forName="titleText3" refType="h" fact="0.3"/>
                        <dgm:constr type="primFontSz" for="des" forName="titleText3" refType="primFontSz" refFor="des" refForName="rootText3" op="lte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06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 fact="0.9"/>
                        <dgm:constr type="l" for="ch" forName="titleText3" refType="w" fact="0.2"/>
                        <dgm:constr type="t" for="ch" forName="titleText3" refType="h" fact="0.7"/>
                        <dgm:constr type="w" for="ch" forName="titleText3" refType="w" fact="0.9"/>
                        <dgm:constr type="h" for="ch" forName="titleText3" refType="h" fact="0.3"/>
                        <dgm:constr type="primFontSz" for="des" forName="titleText3" refType="primFontSz" refFor="des" refForName="rootText3" op="lte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07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 fact="0.9"/>
                        <dgm:constr type="l" for="ch" forName="titleText3" refType="w" fact="0.2"/>
                        <dgm:constr type="t" for="ch" forName="titleText3" refType="h" fact="0.7"/>
                        <dgm:constr type="w" for="ch" forName="titleText3" refType="w" fact="0.9"/>
                        <dgm:constr type="h" for="ch" forName="titleText3" refType="h" fact="0.3"/>
                        <dgm:constr type="primFontSz" for="des" forName="titleText3" refType="primFontSz" refFor="des" refForName="rootText3" op="lte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08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 fact="0.9"/>
                        <dgm:constr type="l" for="ch" forName="titleText3" refType="w" fact="0.2"/>
                        <dgm:constr type="t" for="ch" forName="titleText3" refType="h" fact="0.7"/>
                        <dgm:constr type="w" for="ch" forName="titleText3" refType="w" fact="0.9"/>
                        <dgm:constr type="h" for="ch" forName="titleText3" refType="h" fact="0.3"/>
                        <dgm:constr type="primFontSz" for="des" forName="titleText3" refType="primFontSz" refFor="des" refForName="rootText3" op="lte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 styleLbl="asst1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h" fact="0.4"/>
                    </dgm:constrLst>
                    <dgm:ruleLst>
                      <dgm:rule type="primFontSz" val="5" fact="NaN" max="NaN"/>
                    </dgm:ruleLst>
                  </dgm:layoutNode>
                  <dgm:layoutNode name="titleText3" styleLbl="fgAcc2">
                    <dgm:varLst>
                      <dgm:chMax val="0"/>
                      <dgm:chPref val="0"/>
                    </dgm:varLst>
                    <dgm:alg type="tx">
                      <dgm:param type="parTxLTRAlign" val="r"/>
                    </dgm:alg>
                    <dgm:shape xmlns:r="http://schemas.openxmlformats.org/officeDocument/2006/relationships" type="rect" r:blip="">
                      <dgm:adjLst/>
                    </dgm:shape>
                    <dgm:presOf axis="followSib" ptType="sibTrans" hideLastTrans="0" cnt="1"/>
                    <dgm:constrLst>
                      <dgm:constr type="primFontSz" val="65"/>
                      <dgm:constr type="lMarg" refType="primFontSz" fact="0.2"/>
                      <dgm:constr type="rMarg" refType="primFontSz" fact="0.2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09">
                    <dgm:if name="Name110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11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12" func="var" arg="hierBranch" op="equ" val="hang">
                      <dgm:choose name="Name113">
                        <dgm:if name="Name114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15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16" func="var" arg="hierBranch" op="equ" val="std">
                      <dgm:choose name="Name117">
                        <dgm:if name="Name118" func="var" arg="dir" op="equ" val="norm">
                          <dgm:alg type="hierChild"/>
                        </dgm:if>
                        <dgm:else name="Name119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20" func="var" arg="hierBranch" op="equ" val="init">
                      <dgm:alg type="hierChild"/>
                    </dgm:if>
                    <dgm:else name="Name12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22" ref="rep2a"/>
                </dgm:layoutNode>
                <dgm:layoutNode name="hierChild7">
                  <dgm:choose name="Name123">
                    <dgm:if name="Name12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2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26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2.xml"/><Relationship Id="rId3" Type="http://schemas.openxmlformats.org/officeDocument/2006/relationships/diagramQuickStyle" Target="../diagrams/quickStyle1.xml"/><Relationship Id="rId7" Type="http://schemas.openxmlformats.org/officeDocument/2006/relationships/diagramLayout" Target="../diagrams/layout2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diagramData" Target="../diagrams/data2.xml"/><Relationship Id="rId5" Type="http://schemas.microsoft.com/office/2007/relationships/diagramDrawing" Target="../diagrams/drawing1.xml"/><Relationship Id="rId10" Type="http://schemas.microsoft.com/office/2007/relationships/diagramDrawing" Target="../diagrams/drawing2.xml"/><Relationship Id="rId4" Type="http://schemas.openxmlformats.org/officeDocument/2006/relationships/diagramColors" Target="../diagrams/colors1.xml"/><Relationship Id="rId9" Type="http://schemas.openxmlformats.org/officeDocument/2006/relationships/diagramColors" Target="../diagrams/colors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297180</xdr:colOff>
      <xdr:row>2</xdr:row>
      <xdr:rowOff>80010</xdr:rowOff>
    </xdr:from>
    <xdr:to>
      <xdr:col>9</xdr:col>
      <xdr:colOff>601980</xdr:colOff>
      <xdr:row>17</xdr:row>
      <xdr:rowOff>80010</xdr:rowOff>
    </xdr:to>
    <xdr:graphicFrame macro="">
      <xdr:nvGraphicFramePr>
        <xdr:cNvPr id="2" name="Diagrama 1">
          <a:extLst>
            <a:ext uri="{FF2B5EF4-FFF2-40B4-BE49-F238E27FC236}">
              <a16:creationId xmlns:a16="http://schemas.microsoft.com/office/drawing/2014/main" id="{36B9B143-1A2D-F4E1-49BA-454270E6EB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13</xdr:col>
      <xdr:colOff>114300</xdr:colOff>
      <xdr:row>3</xdr:row>
      <xdr:rowOff>140970</xdr:rowOff>
    </xdr:from>
    <xdr:to>
      <xdr:col>20</xdr:col>
      <xdr:colOff>419100</xdr:colOff>
      <xdr:row>18</xdr:row>
      <xdr:rowOff>140970</xdr:rowOff>
    </xdr:to>
    <xdr:graphicFrame macro="">
      <xdr:nvGraphicFramePr>
        <xdr:cNvPr id="3" name="Diagrama 2">
          <a:extLst>
            <a:ext uri="{FF2B5EF4-FFF2-40B4-BE49-F238E27FC236}">
              <a16:creationId xmlns:a16="http://schemas.microsoft.com/office/drawing/2014/main" id="{9373544D-0BEC-4DA3-81CA-D86764DE71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  <xdr:twoCellAnchor>
    <xdr:from>
      <xdr:col>7</xdr:col>
      <xdr:colOff>144780</xdr:colOff>
      <xdr:row>4</xdr:row>
      <xdr:rowOff>60960</xdr:rowOff>
    </xdr:from>
    <xdr:to>
      <xdr:col>8</xdr:col>
      <xdr:colOff>541020</xdr:colOff>
      <xdr:row>7</xdr:row>
      <xdr:rowOff>7620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D2A9F83D-3E65-ED6D-34BA-8E39F0E8416E}"/>
            </a:ext>
          </a:extLst>
        </xdr:cNvPr>
        <xdr:cNvSpPr/>
      </xdr:nvSpPr>
      <xdr:spPr>
        <a:xfrm>
          <a:off x="4411980" y="792480"/>
          <a:ext cx="1005840" cy="4953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COMERCIAL</a:t>
          </a:r>
        </a:p>
      </xdr:txBody>
    </xdr:sp>
    <xdr:clientData/>
  </xdr:twoCellAnchor>
  <xdr:twoCellAnchor>
    <xdr:from>
      <xdr:col>14</xdr:col>
      <xdr:colOff>106680</xdr:colOff>
      <xdr:row>4</xdr:row>
      <xdr:rowOff>60960</xdr:rowOff>
    </xdr:from>
    <xdr:to>
      <xdr:col>15</xdr:col>
      <xdr:colOff>502920</xdr:colOff>
      <xdr:row>7</xdr:row>
      <xdr:rowOff>7620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AAA66BEE-0BA7-483A-A2CA-6BDFAA183A68}"/>
            </a:ext>
          </a:extLst>
        </xdr:cNvPr>
        <xdr:cNvSpPr/>
      </xdr:nvSpPr>
      <xdr:spPr>
        <a:xfrm>
          <a:off x="8641080" y="792480"/>
          <a:ext cx="1005840" cy="4953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EXECUÇÃO</a:t>
          </a:r>
          <a:r>
            <a:rPr lang="pt-BR" sz="1100" baseline="0"/>
            <a:t> / PROJETOS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12.senado.leg.br/ifi/dados/arquivos/projecoes-if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6D5C8-DDFA-4BE4-87AE-4A5AF9ADAAE7}">
  <dimension ref="A1"/>
  <sheetViews>
    <sheetView workbookViewId="0">
      <selection activeCell="L13" sqref="L13"/>
    </sheetView>
  </sheetViews>
  <sheetFormatPr defaultColWidth="8.77734375"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1E3EF-AB4B-4105-B590-86EA5C4DAF96}">
  <dimension ref="A3:A7"/>
  <sheetViews>
    <sheetView workbookViewId="0">
      <selection activeCell="A7" sqref="A7"/>
    </sheetView>
  </sheetViews>
  <sheetFormatPr defaultColWidth="8.77734375" defaultRowHeight="14.4" x14ac:dyDescent="0.3"/>
  <cols>
    <col min="1" max="1" width="15" bestFit="1" customWidth="1"/>
    <col min="2" max="2" width="8.77734375" customWidth="1"/>
    <col min="3" max="3" width="11.33203125" bestFit="1" customWidth="1"/>
    <col min="4" max="4" width="8.77734375" customWidth="1"/>
    <col min="6" max="6" width="8.77734375" customWidth="1"/>
  </cols>
  <sheetData>
    <row r="3" spans="1:1" x14ac:dyDescent="0.3">
      <c r="A3" t="s">
        <v>0</v>
      </c>
    </row>
    <row r="4" spans="1:1" x14ac:dyDescent="0.3">
      <c r="A4" t="s">
        <v>1</v>
      </c>
    </row>
    <row r="5" spans="1:1" x14ac:dyDescent="0.3">
      <c r="A5" t="s">
        <v>2</v>
      </c>
    </row>
    <row r="6" spans="1:1" x14ac:dyDescent="0.3">
      <c r="A6" t="s">
        <v>4</v>
      </c>
    </row>
    <row r="7" spans="1:1" x14ac:dyDescent="0.3">
      <c r="A7" t="s">
        <v>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F792C-523A-414E-BE27-902E4704FFD1}">
  <dimension ref="A1"/>
  <sheetViews>
    <sheetView workbookViewId="0">
      <selection activeCell="D6" sqref="D6:I17"/>
    </sheetView>
  </sheetViews>
  <sheetFormatPr defaultColWidth="8.77734375"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654CE-34AB-4006-9C9A-0AA97057584C}">
  <dimension ref="A1:AE60"/>
  <sheetViews>
    <sheetView showGridLines="0" topLeftCell="J14" zoomScale="110" zoomScaleNormal="110" workbookViewId="0">
      <selection activeCell="M39" sqref="M39"/>
    </sheetView>
  </sheetViews>
  <sheetFormatPr defaultColWidth="8.77734375" defaultRowHeight="14.4" x14ac:dyDescent="0.3"/>
  <cols>
    <col min="1" max="1" width="4.44140625" bestFit="1" customWidth="1"/>
    <col min="2" max="2" width="16.33203125" bestFit="1" customWidth="1"/>
    <col min="3" max="3" width="10" bestFit="1" customWidth="1"/>
    <col min="4" max="5" width="11.88671875" bestFit="1" customWidth="1"/>
    <col min="6" max="6" width="4.109375" customWidth="1"/>
    <col min="7" max="7" width="4.44140625" bestFit="1" customWidth="1"/>
    <col min="8" max="8" width="16.33203125" bestFit="1" customWidth="1"/>
    <col min="9" max="9" width="10" bestFit="1" customWidth="1"/>
    <col min="10" max="11" width="11.88671875" bestFit="1" customWidth="1"/>
    <col min="12" max="13" width="14.5546875" customWidth="1"/>
    <col min="14" max="14" width="14.77734375" bestFit="1" customWidth="1"/>
    <col min="15" max="15" width="14.44140625" bestFit="1" customWidth="1"/>
    <col min="16" max="16" width="11.88671875" bestFit="1" customWidth="1"/>
    <col min="17" max="18" width="4.44140625" bestFit="1" customWidth="1"/>
    <col min="19" max="19" width="14.77734375" bestFit="1" customWidth="1"/>
    <col min="20" max="20" width="14.44140625" bestFit="1" customWidth="1"/>
    <col min="21" max="21" width="11.88671875" bestFit="1" customWidth="1"/>
    <col min="22" max="22" width="4.33203125" customWidth="1"/>
    <col min="23" max="23" width="4.44140625" bestFit="1" customWidth="1"/>
    <col min="24" max="24" width="14.77734375" bestFit="1" customWidth="1"/>
    <col min="25" max="25" width="17.44140625" customWidth="1"/>
    <col min="26" max="26" width="13" customWidth="1"/>
    <col min="27" max="27" width="12.44140625" customWidth="1"/>
    <col min="28" max="28" width="23" bestFit="1" customWidth="1"/>
    <col min="29" max="29" width="11.88671875" bestFit="1" customWidth="1"/>
    <col min="30" max="30" width="16" bestFit="1" customWidth="1"/>
    <col min="31" max="31" width="19.109375" bestFit="1" customWidth="1"/>
  </cols>
  <sheetData>
    <row r="1" spans="1:31" x14ac:dyDescent="0.3">
      <c r="A1" s="57"/>
      <c r="B1" s="57"/>
      <c r="C1" s="57"/>
      <c r="D1" s="57"/>
      <c r="E1" s="57"/>
      <c r="G1" s="57"/>
      <c r="H1" s="57"/>
      <c r="I1" s="57"/>
      <c r="J1" s="57"/>
      <c r="K1" s="57"/>
      <c r="M1" s="57"/>
      <c r="N1" s="57"/>
      <c r="O1" s="57"/>
      <c r="P1" s="57"/>
      <c r="R1" s="58"/>
      <c r="S1" s="58"/>
      <c r="T1" s="58"/>
      <c r="U1" s="58"/>
      <c r="W1" s="59"/>
      <c r="X1" s="59"/>
      <c r="Y1" s="59"/>
      <c r="Z1" s="59"/>
    </row>
    <row r="2" spans="1:31" x14ac:dyDescent="0.3">
      <c r="A2" s="78" t="s">
        <v>5</v>
      </c>
      <c r="B2" s="78"/>
      <c r="C2" s="78"/>
      <c r="D2" s="42" t="s">
        <v>86</v>
      </c>
      <c r="E2" s="42" t="s">
        <v>87</v>
      </c>
      <c r="G2" s="78" t="s">
        <v>77</v>
      </c>
      <c r="H2" s="78"/>
      <c r="I2" s="78"/>
      <c r="J2" s="42" t="s">
        <v>86</v>
      </c>
      <c r="K2" s="42" t="s">
        <v>87</v>
      </c>
      <c r="M2" s="67" t="s">
        <v>80</v>
      </c>
      <c r="N2" s="68"/>
      <c r="O2" s="69"/>
      <c r="P2" s="42" t="s">
        <v>25</v>
      </c>
      <c r="R2" s="67" t="s">
        <v>97</v>
      </c>
      <c r="S2" s="68"/>
      <c r="T2" s="69"/>
      <c r="U2" s="42" t="s">
        <v>99</v>
      </c>
      <c r="W2" s="67" t="s">
        <v>102</v>
      </c>
      <c r="X2" s="68"/>
      <c r="Y2" s="69"/>
      <c r="Z2" s="42" t="s">
        <v>99</v>
      </c>
    </row>
    <row r="3" spans="1:31" x14ac:dyDescent="0.3">
      <c r="A3" s="78"/>
      <c r="B3" s="78"/>
      <c r="C3" s="78"/>
      <c r="D3" s="45">
        <v>1799</v>
      </c>
      <c r="E3" s="45">
        <v>1599</v>
      </c>
      <c r="G3" s="78"/>
      <c r="H3" s="78"/>
      <c r="I3" s="78"/>
      <c r="J3" s="45">
        <v>1299.99</v>
      </c>
      <c r="K3" s="45">
        <v>1099</v>
      </c>
      <c r="M3" s="70" t="s">
        <v>22</v>
      </c>
      <c r="N3" s="70"/>
      <c r="O3" s="56">
        <v>500</v>
      </c>
      <c r="P3" s="42">
        <v>24</v>
      </c>
      <c r="R3" s="70" t="s">
        <v>96</v>
      </c>
      <c r="S3" s="70"/>
      <c r="T3" s="56">
        <v>400</v>
      </c>
      <c r="U3" s="47">
        <v>0.12</v>
      </c>
      <c r="W3" s="70" t="s">
        <v>104</v>
      </c>
      <c r="X3" s="70"/>
      <c r="Y3" s="56">
        <v>15000</v>
      </c>
      <c r="Z3" s="47"/>
    </row>
    <row r="4" spans="1:31" x14ac:dyDescent="0.3">
      <c r="A4" s="50"/>
      <c r="E4" s="51"/>
      <c r="G4" s="50"/>
      <c r="K4" s="51"/>
      <c r="M4" s="50"/>
      <c r="P4" s="51"/>
      <c r="R4" s="50"/>
      <c r="S4" t="s">
        <v>98</v>
      </c>
      <c r="T4" s="2">
        <v>0.33</v>
      </c>
      <c r="U4" s="51"/>
      <c r="W4" s="50"/>
      <c r="X4" t="s">
        <v>98</v>
      </c>
      <c r="Y4" s="2"/>
      <c r="Z4" s="51"/>
      <c r="AB4" s="77" t="s">
        <v>70</v>
      </c>
      <c r="AC4" s="77"/>
      <c r="AD4" s="77"/>
    </row>
    <row r="5" spans="1:31" x14ac:dyDescent="0.3">
      <c r="A5" s="70" t="s">
        <v>6</v>
      </c>
      <c r="B5" s="70"/>
      <c r="C5" s="70"/>
      <c r="D5" s="70"/>
      <c r="E5" s="46"/>
      <c r="G5" s="70" t="s">
        <v>6</v>
      </c>
      <c r="H5" s="70"/>
      <c r="I5" s="70"/>
      <c r="J5" s="70"/>
      <c r="K5" s="46"/>
      <c r="M5" s="70" t="s">
        <v>6</v>
      </c>
      <c r="N5" s="70"/>
      <c r="O5" s="70"/>
      <c r="P5" s="70"/>
      <c r="Q5" s="4"/>
      <c r="R5" s="70" t="s">
        <v>6</v>
      </c>
      <c r="S5" s="70"/>
      <c r="T5" s="70"/>
      <c r="U5" s="70"/>
      <c r="W5" s="70" t="s">
        <v>6</v>
      </c>
      <c r="X5" s="70"/>
      <c r="Y5" s="70"/>
      <c r="Z5" s="70"/>
      <c r="AB5" s="4"/>
      <c r="AC5" s="4" t="s">
        <v>72</v>
      </c>
      <c r="AD5" s="4" t="s">
        <v>73</v>
      </c>
    </row>
    <row r="6" spans="1:31" x14ac:dyDescent="0.3">
      <c r="A6" s="42" t="s">
        <v>7</v>
      </c>
      <c r="B6" s="42" t="s">
        <v>8</v>
      </c>
      <c r="C6" s="42" t="s">
        <v>9</v>
      </c>
      <c r="D6" s="42" t="s">
        <v>10</v>
      </c>
      <c r="E6" s="42" t="s">
        <v>10</v>
      </c>
      <c r="G6" s="42" t="s">
        <v>7</v>
      </c>
      <c r="H6" s="42" t="s">
        <v>8</v>
      </c>
      <c r="I6" s="42" t="s">
        <v>9</v>
      </c>
      <c r="J6" s="42" t="s">
        <v>10</v>
      </c>
      <c r="K6" s="42" t="s">
        <v>10</v>
      </c>
      <c r="M6" s="42" t="s">
        <v>7</v>
      </c>
      <c r="N6" s="42" t="s">
        <v>8</v>
      </c>
      <c r="O6" s="42" t="s">
        <v>9</v>
      </c>
      <c r="P6" s="42" t="s">
        <v>10</v>
      </c>
      <c r="R6" s="42" t="s">
        <v>7</v>
      </c>
      <c r="S6" s="42" t="s">
        <v>8</v>
      </c>
      <c r="T6" s="42" t="s">
        <v>9</v>
      </c>
      <c r="U6" s="42" t="s">
        <v>10</v>
      </c>
      <c r="W6" s="42" t="s">
        <v>7</v>
      </c>
      <c r="X6" s="42" t="s">
        <v>8</v>
      </c>
      <c r="Y6" s="42" t="s">
        <v>9</v>
      </c>
      <c r="Z6" s="42" t="s">
        <v>10</v>
      </c>
      <c r="AB6" t="s">
        <v>82</v>
      </c>
      <c r="AC6">
        <v>5000</v>
      </c>
      <c r="AD6" s="3">
        <f>AC6*D18</f>
        <v>3776400</v>
      </c>
    </row>
    <row r="7" spans="1:31" x14ac:dyDescent="0.3">
      <c r="A7" s="42">
        <v>1</v>
      </c>
      <c r="B7" s="42" t="s">
        <v>11</v>
      </c>
      <c r="C7" s="47">
        <v>0.15</v>
      </c>
      <c r="D7" s="48">
        <f>C7*D3</f>
        <v>269.84999999999997</v>
      </c>
      <c r="E7" s="48">
        <f>E3*C7</f>
        <v>239.85</v>
      </c>
      <c r="G7" s="42">
        <v>1</v>
      </c>
      <c r="H7" s="42" t="s">
        <v>11</v>
      </c>
      <c r="I7" s="47">
        <v>0.15</v>
      </c>
      <c r="J7" s="48">
        <f>I7*J3</f>
        <v>194.99850000000001</v>
      </c>
      <c r="K7" s="48">
        <f>K3*I7</f>
        <v>164.85</v>
      </c>
      <c r="M7" s="42">
        <v>1</v>
      </c>
      <c r="N7" s="42" t="s">
        <v>11</v>
      </c>
      <c r="O7" s="53">
        <v>0.15</v>
      </c>
      <c r="P7" s="45">
        <f>O7*O3</f>
        <v>75</v>
      </c>
      <c r="Q7" s="1"/>
      <c r="R7" s="42">
        <v>1</v>
      </c>
      <c r="S7" s="42" t="s">
        <v>11</v>
      </c>
      <c r="T7" s="53">
        <v>0.15</v>
      </c>
      <c r="U7" s="45">
        <f>T7*U3*T3</f>
        <v>7.1999999999999993</v>
      </c>
      <c r="W7" s="42">
        <v>1</v>
      </c>
      <c r="X7" s="42" t="s">
        <v>11</v>
      </c>
      <c r="Y7" s="53">
        <v>2.5000000000000001E-2</v>
      </c>
      <c r="Z7" s="45">
        <f>Y7*Y3</f>
        <v>375</v>
      </c>
      <c r="AB7" t="s">
        <v>78</v>
      </c>
      <c r="AC7">
        <v>5000</v>
      </c>
      <c r="AD7" s="3">
        <f>J18*AC7</f>
        <v>1979964</v>
      </c>
    </row>
    <row r="8" spans="1:31" x14ac:dyDescent="0.3">
      <c r="A8" s="42">
        <v>2</v>
      </c>
      <c r="B8" s="42" t="s">
        <v>12</v>
      </c>
      <c r="C8" s="47">
        <v>0.13</v>
      </c>
      <c r="D8" s="48">
        <f>C8*D3</f>
        <v>233.87</v>
      </c>
      <c r="E8" s="48">
        <v>0</v>
      </c>
      <c r="G8" s="42">
        <v>2</v>
      </c>
      <c r="H8" s="42" t="s">
        <v>12</v>
      </c>
      <c r="I8" s="47">
        <v>0.13</v>
      </c>
      <c r="J8" s="48">
        <f>I8*J3</f>
        <v>168.99870000000001</v>
      </c>
      <c r="K8" s="48">
        <v>0</v>
      </c>
      <c r="M8" s="42">
        <v>2</v>
      </c>
      <c r="N8" s="42" t="s">
        <v>23</v>
      </c>
      <c r="O8" s="53">
        <v>2.5000000000000001E-2</v>
      </c>
      <c r="P8" s="45">
        <f>$O$3*O8</f>
        <v>12.5</v>
      </c>
      <c r="Q8" s="1"/>
      <c r="R8" s="42">
        <v>2</v>
      </c>
      <c r="S8" s="42" t="s">
        <v>23</v>
      </c>
      <c r="T8" s="53">
        <v>0.05</v>
      </c>
      <c r="U8" s="45">
        <f>$T$3*T8</f>
        <v>20</v>
      </c>
      <c r="W8" s="42">
        <v>2</v>
      </c>
      <c r="X8" s="42" t="s">
        <v>23</v>
      </c>
      <c r="Y8" s="53">
        <v>0.05</v>
      </c>
      <c r="Z8" s="45">
        <f>$Y$3*Y8</f>
        <v>750</v>
      </c>
      <c r="AB8" t="s">
        <v>71</v>
      </c>
      <c r="AC8">
        <v>12000</v>
      </c>
      <c r="AD8" s="3"/>
    </row>
    <row r="9" spans="1:31" x14ac:dyDescent="0.3">
      <c r="A9" s="42">
        <v>3</v>
      </c>
      <c r="B9" s="42" t="s">
        <v>19</v>
      </c>
      <c r="C9" s="45">
        <v>300</v>
      </c>
      <c r="D9" s="45">
        <f>C9</f>
        <v>300</v>
      </c>
      <c r="E9" s="45">
        <f>D9</f>
        <v>300</v>
      </c>
      <c r="G9" s="42">
        <v>3</v>
      </c>
      <c r="H9" s="42" t="s">
        <v>19</v>
      </c>
      <c r="I9" s="45">
        <v>300</v>
      </c>
      <c r="J9" s="45">
        <v>300</v>
      </c>
      <c r="K9" s="45">
        <v>300</v>
      </c>
      <c r="M9" s="42">
        <v>3</v>
      </c>
      <c r="N9" s="42" t="s">
        <v>13</v>
      </c>
      <c r="O9" s="53">
        <v>5.0000000000000001E-3</v>
      </c>
      <c r="P9" s="45">
        <f t="shared" ref="P9:P13" si="0">$O$3*O9</f>
        <v>2.5</v>
      </c>
      <c r="Q9" s="1"/>
      <c r="R9" s="42">
        <v>3</v>
      </c>
      <c r="S9" s="42" t="s">
        <v>13</v>
      </c>
      <c r="T9" s="53">
        <v>0.01</v>
      </c>
      <c r="U9" s="45">
        <f t="shared" ref="U9:U13" si="1">$T$3*T9</f>
        <v>4</v>
      </c>
      <c r="W9" s="42">
        <v>3</v>
      </c>
      <c r="X9" s="42" t="s">
        <v>13</v>
      </c>
      <c r="Y9" s="53">
        <v>5.0000000000000001E-3</v>
      </c>
      <c r="Z9" s="45">
        <f>$Y$3*Y9</f>
        <v>75</v>
      </c>
      <c r="AB9" t="s">
        <v>83</v>
      </c>
      <c r="AC9" s="3">
        <f>O3</f>
        <v>500</v>
      </c>
      <c r="AD9" s="3">
        <f>AC8*P18</f>
        <v>359999.99999999895</v>
      </c>
      <c r="AE9" s="3"/>
    </row>
    <row r="10" spans="1:31" x14ac:dyDescent="0.3">
      <c r="A10" s="42">
        <v>4</v>
      </c>
      <c r="B10" s="42" t="s">
        <v>14</v>
      </c>
      <c r="C10" s="45">
        <v>50</v>
      </c>
      <c r="D10" s="45">
        <f>C10</f>
        <v>50</v>
      </c>
      <c r="E10" s="45">
        <f>D10</f>
        <v>50</v>
      </c>
      <c r="G10" s="42">
        <v>4</v>
      </c>
      <c r="H10" s="42" t="s">
        <v>14</v>
      </c>
      <c r="I10" s="45">
        <v>50</v>
      </c>
      <c r="J10" s="45">
        <f>I10</f>
        <v>50</v>
      </c>
      <c r="K10" s="45">
        <f>J10</f>
        <v>50</v>
      </c>
      <c r="M10" s="42">
        <v>4</v>
      </c>
      <c r="N10" s="42" t="s">
        <v>14</v>
      </c>
      <c r="O10" s="53">
        <v>3.0000000000000001E-3</v>
      </c>
      <c r="P10" s="45">
        <f t="shared" si="0"/>
        <v>1.5</v>
      </c>
      <c r="Q10" s="1"/>
      <c r="R10" s="42">
        <v>4</v>
      </c>
      <c r="S10" s="42" t="s">
        <v>14</v>
      </c>
      <c r="T10" s="53">
        <v>5.0000000000000001E-3</v>
      </c>
      <c r="U10" s="45">
        <f t="shared" si="1"/>
        <v>2</v>
      </c>
      <c r="W10" s="42">
        <v>4</v>
      </c>
      <c r="X10" s="42" t="s">
        <v>14</v>
      </c>
      <c r="Y10" s="53">
        <v>4.0000000000000001E-3</v>
      </c>
      <c r="Z10" s="45">
        <f t="shared" ref="Z10:Z13" si="2">$Y$3*Y10</f>
        <v>60</v>
      </c>
      <c r="AB10" t="s">
        <v>84</v>
      </c>
      <c r="AC10" s="3">
        <f>O3</f>
        <v>500</v>
      </c>
      <c r="AD10" s="3">
        <f>AC8*P19</f>
        <v>1500000</v>
      </c>
    </row>
    <row r="11" spans="1:31" x14ac:dyDescent="0.3">
      <c r="A11" s="42">
        <v>5</v>
      </c>
      <c r="B11" s="42" t="s">
        <v>15</v>
      </c>
      <c r="C11" s="45">
        <v>40</v>
      </c>
      <c r="D11" s="45">
        <f t="shared" ref="D11:E14" si="3">C11</f>
        <v>40</v>
      </c>
      <c r="E11" s="45">
        <f t="shared" si="3"/>
        <v>40</v>
      </c>
      <c r="G11" s="42">
        <v>5</v>
      </c>
      <c r="H11" s="42" t="s">
        <v>15</v>
      </c>
      <c r="I11" s="45">
        <v>40</v>
      </c>
      <c r="J11" s="45">
        <f t="shared" ref="J11:K14" si="4">I11</f>
        <v>40</v>
      </c>
      <c r="K11" s="45">
        <f t="shared" si="4"/>
        <v>40</v>
      </c>
      <c r="M11" s="42">
        <v>5</v>
      </c>
      <c r="N11" s="42" t="s">
        <v>15</v>
      </c>
      <c r="O11" s="53">
        <v>3.0000000000000001E-3</v>
      </c>
      <c r="P11" s="45">
        <f t="shared" si="0"/>
        <v>1.5</v>
      </c>
      <c r="Q11" s="1"/>
      <c r="R11" s="42">
        <v>5</v>
      </c>
      <c r="S11" s="42" t="s">
        <v>15</v>
      </c>
      <c r="T11" s="53">
        <v>5.0000000000000001E-3</v>
      </c>
      <c r="U11" s="45">
        <f t="shared" si="1"/>
        <v>2</v>
      </c>
      <c r="W11" s="42">
        <v>5</v>
      </c>
      <c r="X11" s="42" t="s">
        <v>15</v>
      </c>
      <c r="Y11" s="53">
        <v>4.0000000000000001E-3</v>
      </c>
      <c r="Z11" s="45">
        <f t="shared" si="2"/>
        <v>60</v>
      </c>
    </row>
    <row r="12" spans="1:31" x14ac:dyDescent="0.3">
      <c r="A12" s="42">
        <v>6</v>
      </c>
      <c r="B12" s="42" t="s">
        <v>16</v>
      </c>
      <c r="C12" s="45">
        <v>30</v>
      </c>
      <c r="D12" s="45">
        <f t="shared" si="3"/>
        <v>30</v>
      </c>
      <c r="E12" s="45">
        <f t="shared" si="3"/>
        <v>30</v>
      </c>
      <c r="G12" s="42">
        <v>6</v>
      </c>
      <c r="H12" s="42" t="s">
        <v>16</v>
      </c>
      <c r="I12" s="45">
        <v>30</v>
      </c>
      <c r="J12" s="45">
        <f t="shared" si="4"/>
        <v>30</v>
      </c>
      <c r="K12" s="45">
        <f t="shared" si="4"/>
        <v>30</v>
      </c>
      <c r="M12" s="42">
        <v>6</v>
      </c>
      <c r="N12" s="42" t="s">
        <v>16</v>
      </c>
      <c r="O12" s="53">
        <v>2E-3</v>
      </c>
      <c r="P12" s="45">
        <f t="shared" si="0"/>
        <v>1</v>
      </c>
      <c r="Q12" s="1"/>
      <c r="R12" s="42">
        <v>6</v>
      </c>
      <c r="S12" s="42" t="s">
        <v>16</v>
      </c>
      <c r="T12" s="53">
        <v>5.0000000000000001E-3</v>
      </c>
      <c r="U12" s="45">
        <f t="shared" si="1"/>
        <v>2</v>
      </c>
      <c r="W12" s="42">
        <v>6</v>
      </c>
      <c r="X12" s="42" t="s">
        <v>16</v>
      </c>
      <c r="Y12" s="53">
        <v>4.0000000000000001E-3</v>
      </c>
      <c r="Z12" s="45">
        <f t="shared" si="2"/>
        <v>60</v>
      </c>
      <c r="AC12" t="s">
        <v>73</v>
      </c>
      <c r="AD12" s="3">
        <f>SUM(AD6:AD10)</f>
        <v>7616363.9999999991</v>
      </c>
    </row>
    <row r="13" spans="1:31" x14ac:dyDescent="0.3">
      <c r="A13" s="42">
        <v>7</v>
      </c>
      <c r="B13" s="42" t="s">
        <v>17</v>
      </c>
      <c r="C13" s="45">
        <v>20</v>
      </c>
      <c r="D13" s="45">
        <f t="shared" si="3"/>
        <v>20</v>
      </c>
      <c r="E13" s="45">
        <f t="shared" si="3"/>
        <v>20</v>
      </c>
      <c r="G13" s="42">
        <v>7</v>
      </c>
      <c r="H13" s="42" t="s">
        <v>17</v>
      </c>
      <c r="I13" s="45">
        <v>20</v>
      </c>
      <c r="J13" s="45">
        <f t="shared" si="4"/>
        <v>20</v>
      </c>
      <c r="K13" s="45">
        <f t="shared" si="4"/>
        <v>20</v>
      </c>
      <c r="M13" s="42">
        <v>7</v>
      </c>
      <c r="N13" s="42" t="s">
        <v>17</v>
      </c>
      <c r="O13" s="53">
        <v>2E-3</v>
      </c>
      <c r="P13" s="45">
        <f t="shared" si="0"/>
        <v>1</v>
      </c>
      <c r="Q13" s="1"/>
      <c r="R13" s="42">
        <v>7</v>
      </c>
      <c r="S13" s="42" t="s">
        <v>17</v>
      </c>
      <c r="T13" s="53">
        <v>5.0000000000000001E-3</v>
      </c>
      <c r="U13" s="45">
        <f t="shared" si="1"/>
        <v>2</v>
      </c>
      <c r="W13" s="42">
        <v>7</v>
      </c>
      <c r="X13" s="42" t="s">
        <v>17</v>
      </c>
      <c r="Y13" s="53">
        <v>3.0000000000000001E-3</v>
      </c>
      <c r="Z13" s="45">
        <f t="shared" si="2"/>
        <v>45</v>
      </c>
    </row>
    <row r="14" spans="1:31" x14ac:dyDescent="0.3">
      <c r="A14" s="42">
        <v>8</v>
      </c>
      <c r="B14" s="42" t="s">
        <v>92</v>
      </c>
      <c r="C14" s="45">
        <v>100</v>
      </c>
      <c r="D14" s="45">
        <f t="shared" si="3"/>
        <v>100</v>
      </c>
      <c r="E14" s="45">
        <f t="shared" si="3"/>
        <v>100</v>
      </c>
      <c r="G14" s="42">
        <v>9</v>
      </c>
      <c r="H14" s="42" t="s">
        <v>92</v>
      </c>
      <c r="I14" s="45">
        <v>100</v>
      </c>
      <c r="J14" s="45">
        <f t="shared" si="4"/>
        <v>100</v>
      </c>
      <c r="K14" s="45">
        <f t="shared" si="4"/>
        <v>100</v>
      </c>
      <c r="M14" s="42">
        <v>8</v>
      </c>
      <c r="N14" s="42" t="s">
        <v>24</v>
      </c>
      <c r="O14" s="54">
        <v>0</v>
      </c>
      <c r="P14" s="55">
        <f>O3*O14</f>
        <v>0</v>
      </c>
      <c r="Q14" s="41"/>
      <c r="R14" s="42">
        <v>8</v>
      </c>
      <c r="S14" s="42" t="s">
        <v>24</v>
      </c>
      <c r="T14" s="54">
        <v>0</v>
      </c>
      <c r="U14" s="55">
        <f>T3*T14</f>
        <v>0</v>
      </c>
      <c r="W14" s="42">
        <v>8</v>
      </c>
      <c r="X14" s="42" t="s">
        <v>103</v>
      </c>
      <c r="Y14" s="54">
        <v>0.64</v>
      </c>
      <c r="Z14" s="55">
        <f>Y3*Y14</f>
        <v>9600</v>
      </c>
    </row>
    <row r="15" spans="1:31" x14ac:dyDescent="0.3">
      <c r="A15" s="50"/>
      <c r="C15" s="49"/>
      <c r="D15" s="49"/>
      <c r="E15" s="52"/>
      <c r="G15" s="50"/>
      <c r="I15" s="49"/>
      <c r="J15" s="49"/>
      <c r="K15" s="52"/>
      <c r="M15" s="42">
        <v>9</v>
      </c>
      <c r="N15" s="42" t="s">
        <v>79</v>
      </c>
      <c r="O15" s="53">
        <v>0.6</v>
      </c>
      <c r="P15" s="45">
        <f>O15*O3</f>
        <v>300</v>
      </c>
      <c r="Q15" s="1"/>
      <c r="R15" s="42">
        <v>9</v>
      </c>
      <c r="S15" s="42" t="s">
        <v>79</v>
      </c>
      <c r="T15" s="53">
        <v>0.9</v>
      </c>
      <c r="U15" s="45">
        <f>T15*T3</f>
        <v>360</v>
      </c>
      <c r="W15" s="42">
        <v>9</v>
      </c>
      <c r="X15" s="42" t="s">
        <v>105</v>
      </c>
      <c r="Y15" s="53">
        <v>0.11</v>
      </c>
      <c r="Z15" s="45">
        <f>Y15*Y3</f>
        <v>1650</v>
      </c>
      <c r="AB15" t="s">
        <v>76</v>
      </c>
    </row>
    <row r="16" spans="1:31" x14ac:dyDescent="0.3">
      <c r="A16" s="50"/>
      <c r="C16" s="49"/>
      <c r="D16" s="49"/>
      <c r="E16" s="52"/>
      <c r="G16" s="50"/>
      <c r="K16" s="51"/>
      <c r="M16" s="42">
        <v>10</v>
      </c>
      <c r="N16" s="42" t="s">
        <v>92</v>
      </c>
      <c r="O16" s="53">
        <v>0.1</v>
      </c>
      <c r="P16" s="48">
        <f>O3*O16</f>
        <v>50</v>
      </c>
      <c r="R16" s="42">
        <v>10</v>
      </c>
      <c r="S16" s="42" t="s">
        <v>92</v>
      </c>
      <c r="T16" s="53">
        <v>0.1</v>
      </c>
      <c r="U16" s="48">
        <f>T3*T16</f>
        <v>40</v>
      </c>
      <c r="W16" s="42">
        <v>10</v>
      </c>
      <c r="X16" s="60" t="s">
        <v>106</v>
      </c>
      <c r="Y16" s="61">
        <v>0.04</v>
      </c>
      <c r="Z16" s="45">
        <f>Y16*Y3</f>
        <v>600</v>
      </c>
    </row>
    <row r="17" spans="1:27" x14ac:dyDescent="0.3">
      <c r="A17" s="50"/>
      <c r="E17" s="51"/>
      <c r="G17" s="50"/>
      <c r="K17" s="51"/>
      <c r="M17" s="50"/>
      <c r="P17" s="51"/>
      <c r="R17" s="50"/>
      <c r="U17" s="51"/>
      <c r="W17" s="42">
        <v>11</v>
      </c>
      <c r="X17" s="42" t="s">
        <v>92</v>
      </c>
      <c r="Y17" s="53">
        <v>0.02</v>
      </c>
      <c r="Z17" s="48">
        <f>Y3*Y17</f>
        <v>300</v>
      </c>
    </row>
    <row r="18" spans="1:27" x14ac:dyDescent="0.3">
      <c r="A18" s="67" t="s">
        <v>93</v>
      </c>
      <c r="B18" s="68"/>
      <c r="C18" s="69"/>
      <c r="D18" s="48">
        <f>D3-SUM(D7:D16)</f>
        <v>755.28</v>
      </c>
      <c r="E18" s="48">
        <f>E3-SUM(E7:E14)</f>
        <v>819.15</v>
      </c>
      <c r="G18" s="67" t="s">
        <v>93</v>
      </c>
      <c r="H18" s="68"/>
      <c r="I18" s="69"/>
      <c r="J18" s="48">
        <f>J3-SUM(J7:J14)</f>
        <v>395.99279999999999</v>
      </c>
      <c r="K18" s="48">
        <f>K3-SUM(K7:K14)</f>
        <v>394.15</v>
      </c>
      <c r="M18" s="70" t="s">
        <v>75</v>
      </c>
      <c r="N18" s="70"/>
      <c r="O18" s="42"/>
      <c r="P18" s="48">
        <f>'Simulador-Rent Revo'!AA7</f>
        <v>29.999999999999915</v>
      </c>
      <c r="Q18" s="3"/>
      <c r="R18" s="70" t="s">
        <v>75</v>
      </c>
      <c r="S18" s="70"/>
      <c r="T18" s="42"/>
      <c r="U18" s="48">
        <f>'Simulador-Rent Revo'!AF7</f>
        <v>0</v>
      </c>
      <c r="W18" s="70"/>
      <c r="X18" s="70"/>
      <c r="Y18" s="42"/>
      <c r="Z18" s="48">
        <f>'Simulador-Rent Revo'!AK7</f>
        <v>0</v>
      </c>
    </row>
    <row r="19" spans="1:27" x14ac:dyDescent="0.3">
      <c r="M19" s="70" t="s">
        <v>81</v>
      </c>
      <c r="N19" s="70"/>
      <c r="O19" s="42"/>
      <c r="P19" s="48">
        <f>O3-SUM(P7)-P15</f>
        <v>125</v>
      </c>
      <c r="Q19" s="3"/>
      <c r="R19" s="70" t="s">
        <v>81</v>
      </c>
      <c r="S19" s="70"/>
      <c r="T19" s="42"/>
      <c r="U19" s="48">
        <f>(U15*0.85)-U16</f>
        <v>266</v>
      </c>
      <c r="W19" s="70"/>
      <c r="X19" s="70"/>
      <c r="Y19" s="42"/>
      <c r="Z19" s="48"/>
    </row>
    <row r="20" spans="1:27" x14ac:dyDescent="0.3">
      <c r="M20" s="50"/>
      <c r="P20" s="51"/>
      <c r="R20" s="50"/>
      <c r="U20" s="51"/>
      <c r="W20" s="70" t="s">
        <v>107</v>
      </c>
      <c r="X20" s="70"/>
      <c r="Y20" s="70"/>
      <c r="Z20" s="48">
        <f>Y3-SUM(Z7:Z18)+Z16</f>
        <v>2025</v>
      </c>
      <c r="AA20" s="62">
        <f>Z20/Y3</f>
        <v>0.13500000000000001</v>
      </c>
    </row>
    <row r="21" spans="1:27" x14ac:dyDescent="0.3">
      <c r="J21" s="3"/>
      <c r="M21" s="70" t="s">
        <v>100</v>
      </c>
      <c r="N21" s="70"/>
      <c r="O21" s="70"/>
      <c r="P21" s="48">
        <f>O3-SUM(P15:P16)-P7+P18</f>
        <v>104.99999999999991</v>
      </c>
      <c r="Q21" s="40">
        <f>P21/O3</f>
        <v>0.20999999999999983</v>
      </c>
      <c r="R21" s="70" t="s">
        <v>101</v>
      </c>
      <c r="S21" s="70"/>
      <c r="T21" s="70"/>
      <c r="U21" s="48">
        <f>(T3*U3)-SUM(U7:U13)</f>
        <v>8.7999999999999972</v>
      </c>
      <c r="W21" s="70" t="s">
        <v>108</v>
      </c>
      <c r="X21" s="70"/>
      <c r="Y21" s="70"/>
      <c r="Z21" s="48">
        <f>Y3-SUM(Z7:Z17)</f>
        <v>1425</v>
      </c>
      <c r="AA21" s="62">
        <f>Z21/Y3</f>
        <v>9.5000000000000001E-2</v>
      </c>
    </row>
    <row r="22" spans="1:27" x14ac:dyDescent="0.3">
      <c r="N22" s="3"/>
      <c r="S22" s="3"/>
      <c r="X22" s="3"/>
    </row>
    <row r="23" spans="1:27" x14ac:dyDescent="0.3">
      <c r="N23" s="3"/>
      <c r="O23" s="40"/>
      <c r="S23" s="3"/>
      <c r="T23" s="40"/>
      <c r="X23" s="3"/>
      <c r="Y23" s="40"/>
    </row>
    <row r="29" spans="1:27" x14ac:dyDescent="0.3">
      <c r="B29" s="79" t="s">
        <v>85</v>
      </c>
      <c r="C29" s="79"/>
      <c r="D29" s="42" t="s">
        <v>71</v>
      </c>
      <c r="H29" s="79" t="s">
        <v>85</v>
      </c>
      <c r="I29" s="79"/>
      <c r="J29" s="42" t="s">
        <v>71</v>
      </c>
    </row>
    <row r="30" spans="1:27" ht="15" customHeight="1" x14ac:dyDescent="0.3">
      <c r="B30" s="79"/>
      <c r="C30" s="79"/>
      <c r="D30" s="42">
        <v>9</v>
      </c>
      <c r="H30" s="79"/>
      <c r="I30" s="79"/>
      <c r="J30" s="42">
        <v>7</v>
      </c>
    </row>
    <row r="31" spans="1:27" x14ac:dyDescent="0.3">
      <c r="B31" s="79"/>
      <c r="C31" s="79"/>
      <c r="D31" s="43">
        <f>P15/D3</f>
        <v>0.16675931072818231</v>
      </c>
      <c r="E31" s="44"/>
      <c r="H31" s="79"/>
      <c r="I31" s="79"/>
      <c r="J31" s="43">
        <f>P15/J3</f>
        <v>0.23077100593081484</v>
      </c>
      <c r="K31" s="44"/>
    </row>
    <row r="32" spans="1:27" x14ac:dyDescent="0.3">
      <c r="B32" s="79"/>
      <c r="C32" s="79"/>
      <c r="D32" s="43">
        <f>D30*D31</f>
        <v>1.5008337965536409</v>
      </c>
      <c r="E32" s="44"/>
      <c r="H32" s="79"/>
      <c r="I32" s="79"/>
      <c r="J32" s="43">
        <f>J30*J31</f>
        <v>1.615397041515704</v>
      </c>
      <c r="K32" s="44"/>
    </row>
    <row r="34" spans="2:16" ht="15" customHeight="1" x14ac:dyDescent="0.3">
      <c r="B34" s="71" t="s">
        <v>94</v>
      </c>
      <c r="C34" s="72"/>
      <c r="D34" s="42" t="s">
        <v>71</v>
      </c>
      <c r="E34" s="42" t="s">
        <v>95</v>
      </c>
      <c r="H34" s="65" t="s">
        <v>94</v>
      </c>
      <c r="I34" s="65"/>
      <c r="J34" s="42" t="s">
        <v>114</v>
      </c>
      <c r="K34" s="42" t="s">
        <v>95</v>
      </c>
      <c r="L34" s="42" t="s">
        <v>115</v>
      </c>
      <c r="M34" s="42" t="s">
        <v>116</v>
      </c>
    </row>
    <row r="35" spans="2:16" x14ac:dyDescent="0.3">
      <c r="B35" s="73"/>
      <c r="C35" s="74"/>
      <c r="D35" s="42">
        <v>4</v>
      </c>
      <c r="E35" s="42">
        <v>2</v>
      </c>
      <c r="H35" s="66"/>
      <c r="I35" s="66"/>
      <c r="J35" s="42">
        <v>0</v>
      </c>
      <c r="K35" s="42">
        <v>2</v>
      </c>
      <c r="L35" s="42">
        <v>0</v>
      </c>
      <c r="M35" s="42">
        <v>3</v>
      </c>
    </row>
    <row r="36" spans="2:16" x14ac:dyDescent="0.3">
      <c r="B36" s="73"/>
      <c r="C36" s="74"/>
      <c r="D36" s="43">
        <f>P15/D3</f>
        <v>0.16675931072818231</v>
      </c>
      <c r="E36" s="43">
        <f>C9/D3</f>
        <v>0.16675931072818231</v>
      </c>
      <c r="H36" s="66"/>
      <c r="I36" s="66"/>
      <c r="J36" s="43">
        <f>$P$15/$J$3</f>
        <v>0.23077100593081484</v>
      </c>
      <c r="K36" s="43">
        <f>$I$9/$J$3</f>
        <v>0.23077100593081484</v>
      </c>
      <c r="L36" s="43">
        <f>$Z$8/$J$3</f>
        <v>0.57692751482703708</v>
      </c>
      <c r="M36" s="43">
        <f>$U$8/$J$3</f>
        <v>1.5384733728720989E-2</v>
      </c>
    </row>
    <row r="37" spans="2:16" x14ac:dyDescent="0.3">
      <c r="B37" s="73"/>
      <c r="C37" s="74"/>
      <c r="D37" s="43">
        <f>D35*D36</f>
        <v>0.66703724291272926</v>
      </c>
      <c r="E37" s="43">
        <f>E35*E36</f>
        <v>0.33351862145636463</v>
      </c>
      <c r="H37" s="66"/>
      <c r="I37" s="66"/>
      <c r="J37" s="43">
        <f>J35*J36</f>
        <v>0</v>
      </c>
      <c r="K37" s="43">
        <f>K35*K36</f>
        <v>0.46154201186162969</v>
      </c>
      <c r="L37" s="43">
        <f>L36*L35</f>
        <v>0</v>
      </c>
      <c r="M37" s="43">
        <f>M36*M35</f>
        <v>4.6154201186162966E-2</v>
      </c>
    </row>
    <row r="38" spans="2:16" x14ac:dyDescent="0.3">
      <c r="B38" s="75"/>
      <c r="C38" s="76"/>
      <c r="D38" s="45">
        <f>D35*P15</f>
        <v>1200</v>
      </c>
      <c r="E38" s="48">
        <f>E35*C9</f>
        <v>600</v>
      </c>
      <c r="H38" s="66"/>
      <c r="I38" s="66"/>
      <c r="J38" s="45">
        <f>J35*$P$15</f>
        <v>0</v>
      </c>
      <c r="K38" s="48">
        <f>K35*$I$9</f>
        <v>600</v>
      </c>
      <c r="L38" s="45">
        <f>L35*$Z$8</f>
        <v>0</v>
      </c>
      <c r="M38" s="48">
        <f>$U$8*M35</f>
        <v>60</v>
      </c>
      <c r="N38" t="s">
        <v>117</v>
      </c>
      <c r="O38" s="3">
        <f>SUM(J38:M38)</f>
        <v>660</v>
      </c>
    </row>
    <row r="39" spans="2:16" x14ac:dyDescent="0.3">
      <c r="H39" s="66"/>
      <c r="I39" s="66"/>
      <c r="J39" s="63">
        <f>0.1*$O$3*J35</f>
        <v>0</v>
      </c>
      <c r="K39" s="63">
        <f>100*K35</f>
        <v>200</v>
      </c>
      <c r="L39" s="63">
        <f>L35*$Y$3*$Y$17</f>
        <v>0</v>
      </c>
      <c r="M39" s="63">
        <f>0.1*M35*$T$3</f>
        <v>120.00000000000001</v>
      </c>
      <c r="N39" t="s">
        <v>118</v>
      </c>
      <c r="O39" s="63">
        <f>SUM(J39:M39)</f>
        <v>320</v>
      </c>
      <c r="P39" s="64">
        <f>O39+O47+O54</f>
        <v>2260</v>
      </c>
    </row>
    <row r="42" spans="2:16" x14ac:dyDescent="0.3">
      <c r="H42" s="65" t="s">
        <v>94</v>
      </c>
      <c r="I42" s="65"/>
      <c r="J42" s="42" t="s">
        <v>114</v>
      </c>
      <c r="K42" s="42" t="s">
        <v>95</v>
      </c>
      <c r="L42" s="42" t="s">
        <v>115</v>
      </c>
      <c r="M42" s="42" t="s">
        <v>116</v>
      </c>
    </row>
    <row r="43" spans="2:16" x14ac:dyDescent="0.3">
      <c r="H43" s="66"/>
      <c r="I43" s="66"/>
      <c r="J43" s="42">
        <v>1</v>
      </c>
      <c r="K43" s="42">
        <v>2</v>
      </c>
      <c r="L43" s="42">
        <v>2</v>
      </c>
      <c r="M43" s="42">
        <v>3</v>
      </c>
    </row>
    <row r="44" spans="2:16" x14ac:dyDescent="0.3">
      <c r="H44" s="66"/>
      <c r="I44" s="66"/>
      <c r="J44" s="43">
        <f>$P$15/$J$3</f>
        <v>0.23077100593081484</v>
      </c>
      <c r="K44" s="43">
        <f>$I$9/$J$3</f>
        <v>0.23077100593081484</v>
      </c>
      <c r="L44" s="43">
        <f>$Z$8/$J$3</f>
        <v>0.57692751482703708</v>
      </c>
      <c r="M44" s="43">
        <f>$U$8/$J$3</f>
        <v>1.5384733728720989E-2</v>
      </c>
    </row>
    <row r="45" spans="2:16" x14ac:dyDescent="0.3">
      <c r="H45" s="66"/>
      <c r="I45" s="66"/>
      <c r="J45" s="43">
        <f>J43*J44</f>
        <v>0.23077100593081484</v>
      </c>
      <c r="K45" s="43">
        <f>K43*K44</f>
        <v>0.46154201186162969</v>
      </c>
      <c r="L45" s="43">
        <f>L44*L43</f>
        <v>1.1538550296540742</v>
      </c>
      <c r="M45" s="43">
        <f>M44*M43</f>
        <v>4.6154201186162966E-2</v>
      </c>
    </row>
    <row r="46" spans="2:16" x14ac:dyDescent="0.3">
      <c r="H46" s="66"/>
      <c r="I46" s="66"/>
      <c r="J46" s="45">
        <f>J43*$P$15</f>
        <v>300</v>
      </c>
      <c r="K46" s="48">
        <f>K43*$I$9</f>
        <v>600</v>
      </c>
      <c r="L46" s="45">
        <f>L43*$Z$8</f>
        <v>1500</v>
      </c>
      <c r="M46" s="48">
        <f>$U$8*M43</f>
        <v>60</v>
      </c>
      <c r="N46" t="s">
        <v>117</v>
      </c>
      <c r="O46" s="3">
        <f>SUM(J46:M46)</f>
        <v>2460</v>
      </c>
    </row>
    <row r="47" spans="2:16" x14ac:dyDescent="0.3">
      <c r="H47" s="66"/>
      <c r="I47" s="66"/>
      <c r="J47" s="63">
        <f>0.1*$O$3*J43</f>
        <v>50</v>
      </c>
      <c r="K47" s="63">
        <f>100*K43</f>
        <v>200</v>
      </c>
      <c r="L47" s="63">
        <f>L43*$Y$3*$Y$17</f>
        <v>600</v>
      </c>
      <c r="M47" s="63">
        <f>0.1*M43*$T$3</f>
        <v>120.00000000000001</v>
      </c>
      <c r="N47" t="s">
        <v>118</v>
      </c>
      <c r="O47" s="63">
        <f>SUM(J47:M47)</f>
        <v>970</v>
      </c>
    </row>
    <row r="49" spans="8:16" x14ac:dyDescent="0.3">
      <c r="H49" s="65" t="s">
        <v>94</v>
      </c>
      <c r="I49" s="65"/>
      <c r="J49" s="42" t="s">
        <v>114</v>
      </c>
      <c r="K49" s="42" t="s">
        <v>95</v>
      </c>
      <c r="L49" s="42" t="s">
        <v>115</v>
      </c>
      <c r="M49" s="42" t="s">
        <v>116</v>
      </c>
    </row>
    <row r="50" spans="8:16" x14ac:dyDescent="0.3">
      <c r="H50" s="66"/>
      <c r="I50" s="66"/>
      <c r="J50" s="42">
        <v>1</v>
      </c>
      <c r="K50" s="42">
        <v>2</v>
      </c>
      <c r="L50" s="42">
        <v>2</v>
      </c>
      <c r="M50" s="42">
        <v>3</v>
      </c>
    </row>
    <row r="51" spans="8:16" x14ac:dyDescent="0.3">
      <c r="H51" s="66"/>
      <c r="I51" s="66"/>
      <c r="J51" s="43">
        <f>$P$15/$J$3</f>
        <v>0.23077100593081484</v>
      </c>
      <c r="K51" s="43">
        <f>$I$9/$J$3</f>
        <v>0.23077100593081484</v>
      </c>
      <c r="L51" s="43">
        <f>$Z$8/$J$3</f>
        <v>0.57692751482703708</v>
      </c>
      <c r="M51" s="43">
        <f>$U$8/$J$3</f>
        <v>1.5384733728720989E-2</v>
      </c>
    </row>
    <row r="52" spans="8:16" x14ac:dyDescent="0.3">
      <c r="H52" s="66"/>
      <c r="I52" s="66"/>
      <c r="J52" s="43">
        <f>J50*J51</f>
        <v>0.23077100593081484</v>
      </c>
      <c r="K52" s="43">
        <f>K50*K51</f>
        <v>0.46154201186162969</v>
      </c>
      <c r="L52" s="43">
        <f>L51*L50</f>
        <v>1.1538550296540742</v>
      </c>
      <c r="M52" s="43">
        <f>M51*M50</f>
        <v>4.6154201186162966E-2</v>
      </c>
    </row>
    <row r="53" spans="8:16" x14ac:dyDescent="0.3">
      <c r="H53" s="66"/>
      <c r="I53" s="66"/>
      <c r="J53" s="45">
        <f>J50*$P$15</f>
        <v>300</v>
      </c>
      <c r="K53" s="48">
        <f>K50*$I$9</f>
        <v>600</v>
      </c>
      <c r="L53" s="45">
        <f>L50*$Z$8</f>
        <v>1500</v>
      </c>
      <c r="M53" s="48">
        <f>$U$8*M50</f>
        <v>60</v>
      </c>
      <c r="N53" t="s">
        <v>117</v>
      </c>
      <c r="O53" s="3">
        <f>SUM(J53:M53)</f>
        <v>2460</v>
      </c>
    </row>
    <row r="54" spans="8:16" x14ac:dyDescent="0.3">
      <c r="H54" s="66"/>
      <c r="I54" s="66"/>
      <c r="J54" s="63">
        <f>0.1*$O$3*J50</f>
        <v>50</v>
      </c>
      <c r="K54" s="63">
        <f>100*K50</f>
        <v>200</v>
      </c>
      <c r="L54" s="63">
        <f>L50*$Y$3*$Y$17</f>
        <v>600</v>
      </c>
      <c r="M54" s="63">
        <f>0.1*M50*$T$3</f>
        <v>120.00000000000001</v>
      </c>
      <c r="N54" t="s">
        <v>118</v>
      </c>
      <c r="O54" s="63">
        <f>SUM(J54:M54)</f>
        <v>970</v>
      </c>
    </row>
    <row r="56" spans="8:16" x14ac:dyDescent="0.3">
      <c r="J56">
        <f>SUM(J50+J43+J35)</f>
        <v>2</v>
      </c>
      <c r="K56">
        <f t="shared" ref="K56:M56" si="5">SUM(K50+K43+K35)</f>
        <v>6</v>
      </c>
      <c r="L56">
        <f t="shared" si="5"/>
        <v>4</v>
      </c>
      <c r="M56">
        <f t="shared" si="5"/>
        <v>9</v>
      </c>
    </row>
    <row r="57" spans="8:16" x14ac:dyDescent="0.3">
      <c r="J57" s="3">
        <f>P21</f>
        <v>104.99999999999991</v>
      </c>
      <c r="K57" s="3">
        <f>J18</f>
        <v>395.99279999999999</v>
      </c>
      <c r="L57" s="3">
        <f>Z21</f>
        <v>1425</v>
      </c>
      <c r="M57" s="3">
        <f>U19</f>
        <v>266</v>
      </c>
    </row>
    <row r="58" spans="8:16" x14ac:dyDescent="0.3">
      <c r="J58" s="3">
        <f>J56*J57</f>
        <v>209.99999999999983</v>
      </c>
      <c r="K58" s="3">
        <f t="shared" ref="K58:M58" si="6">K56*K57</f>
        <v>2375.9567999999999</v>
      </c>
      <c r="L58" s="3">
        <f t="shared" si="6"/>
        <v>5700</v>
      </c>
      <c r="M58" s="3">
        <f t="shared" si="6"/>
        <v>2394</v>
      </c>
      <c r="O58" s="3">
        <f>SUM(J58:M58)</f>
        <v>10679.9568</v>
      </c>
      <c r="P58">
        <f>O58/P39</f>
        <v>4.7256446017699112</v>
      </c>
    </row>
    <row r="59" spans="8:16" x14ac:dyDescent="0.3">
      <c r="J59" s="3">
        <f>P16</f>
        <v>50</v>
      </c>
      <c r="K59" s="3">
        <f>J14</f>
        <v>100</v>
      </c>
      <c r="L59" s="3">
        <f>Z17</f>
        <v>300</v>
      </c>
      <c r="M59" s="3">
        <f>U16</f>
        <v>40</v>
      </c>
      <c r="O59" s="3"/>
    </row>
    <row r="60" spans="8:16" x14ac:dyDescent="0.3">
      <c r="J60" s="3">
        <f t="shared" ref="J60:L60" si="7">J59*J56</f>
        <v>100</v>
      </c>
      <c r="K60" s="3">
        <f t="shared" si="7"/>
        <v>600</v>
      </c>
      <c r="L60" s="3">
        <f t="shared" si="7"/>
        <v>1200</v>
      </c>
      <c r="M60" s="3">
        <f>M59*M56</f>
        <v>360</v>
      </c>
      <c r="O60" s="3">
        <f t="shared" ref="O60" si="8">SUM(J60:M60)</f>
        <v>2260</v>
      </c>
      <c r="P60">
        <f>O60/P39</f>
        <v>1</v>
      </c>
    </row>
  </sheetData>
  <mergeCells count="32">
    <mergeCell ref="A2:C3"/>
    <mergeCell ref="B29:C32"/>
    <mergeCell ref="H29:I32"/>
    <mergeCell ref="M3:N3"/>
    <mergeCell ref="A5:D5"/>
    <mergeCell ref="G5:J5"/>
    <mergeCell ref="M5:P5"/>
    <mergeCell ref="M21:O21"/>
    <mergeCell ref="M18:N18"/>
    <mergeCell ref="M19:N19"/>
    <mergeCell ref="B34:C38"/>
    <mergeCell ref="G18:I18"/>
    <mergeCell ref="A18:C18"/>
    <mergeCell ref="AB4:AD4"/>
    <mergeCell ref="W18:X18"/>
    <mergeCell ref="W19:X19"/>
    <mergeCell ref="W21:Y21"/>
    <mergeCell ref="W20:Y20"/>
    <mergeCell ref="H34:I39"/>
    <mergeCell ref="H42:I47"/>
    <mergeCell ref="H49:I54"/>
    <mergeCell ref="R2:T2"/>
    <mergeCell ref="M2:O2"/>
    <mergeCell ref="W2:Y2"/>
    <mergeCell ref="W3:X3"/>
    <mergeCell ref="W5:Z5"/>
    <mergeCell ref="R3:S3"/>
    <mergeCell ref="R5:U5"/>
    <mergeCell ref="R18:S18"/>
    <mergeCell ref="R19:S19"/>
    <mergeCell ref="R21:T21"/>
    <mergeCell ref="G2:I3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9294A-A185-42BE-A05C-BAC9DF579FB6}">
  <dimension ref="A1:N16"/>
  <sheetViews>
    <sheetView workbookViewId="0">
      <selection activeCell="M3" sqref="M3"/>
    </sheetView>
  </sheetViews>
  <sheetFormatPr defaultColWidth="8.77734375" defaultRowHeight="14.4" x14ac:dyDescent="0.3"/>
  <cols>
    <col min="2" max="2" width="17.77734375" bestFit="1" customWidth="1"/>
    <col min="3" max="3" width="11.77734375" bestFit="1" customWidth="1"/>
    <col min="4" max="4" width="10.33203125" bestFit="1" customWidth="1"/>
    <col min="5" max="5" width="2.77734375" customWidth="1"/>
    <col min="6" max="6" width="4.44140625" bestFit="1" customWidth="1"/>
    <col min="7" max="7" width="17.77734375" bestFit="1" customWidth="1"/>
    <col min="8" max="8" width="11.77734375" bestFit="1" customWidth="1"/>
    <col min="9" max="9" width="10.33203125" bestFit="1" customWidth="1"/>
    <col min="10" max="10" width="3.109375" customWidth="1"/>
    <col min="11" max="11" width="6.44140625" customWidth="1"/>
    <col min="12" max="12" width="15.77734375" bestFit="1" customWidth="1"/>
    <col min="13" max="14" width="11.77734375" bestFit="1" customWidth="1"/>
  </cols>
  <sheetData>
    <row r="1" spans="1:14" x14ac:dyDescent="0.3">
      <c r="M1" t="s">
        <v>53</v>
      </c>
      <c r="N1" t="s">
        <v>25</v>
      </c>
    </row>
    <row r="2" spans="1:14" x14ac:dyDescent="0.3">
      <c r="B2" t="s">
        <v>5</v>
      </c>
      <c r="C2" s="1">
        <v>1400</v>
      </c>
      <c r="G2" t="s">
        <v>21</v>
      </c>
      <c r="H2" s="1">
        <v>1200</v>
      </c>
      <c r="K2" s="77" t="s">
        <v>22</v>
      </c>
      <c r="L2" s="77"/>
      <c r="M2" s="6">
        <f>'Simulação-MMN'!O3</f>
        <v>500</v>
      </c>
      <c r="N2">
        <v>48</v>
      </c>
    </row>
    <row r="4" spans="1:14" x14ac:dyDescent="0.3">
      <c r="A4" s="77" t="s">
        <v>6</v>
      </c>
      <c r="B4" s="77"/>
      <c r="C4" s="77"/>
      <c r="D4" s="77"/>
      <c r="F4" s="77" t="s">
        <v>6</v>
      </c>
      <c r="G4" s="77"/>
      <c r="H4" s="77"/>
      <c r="I4" s="77"/>
      <c r="K4" s="77" t="s">
        <v>6</v>
      </c>
      <c r="L4" s="77"/>
      <c r="M4" s="77"/>
      <c r="N4" s="77"/>
    </row>
    <row r="5" spans="1:14" x14ac:dyDescent="0.3">
      <c r="A5" t="s">
        <v>7</v>
      </c>
      <c r="B5" t="s">
        <v>8</v>
      </c>
      <c r="C5" t="s">
        <v>9</v>
      </c>
      <c r="D5" t="s">
        <v>10</v>
      </c>
      <c r="F5" t="s">
        <v>7</v>
      </c>
      <c r="G5" t="s">
        <v>8</v>
      </c>
      <c r="H5" t="s">
        <v>9</v>
      </c>
      <c r="I5" t="s">
        <v>10</v>
      </c>
      <c r="K5" t="s">
        <v>7</v>
      </c>
      <c r="L5" t="s">
        <v>8</v>
      </c>
      <c r="M5" t="s">
        <v>9</v>
      </c>
      <c r="N5" t="s">
        <v>10</v>
      </c>
    </row>
    <row r="6" spans="1:14" x14ac:dyDescent="0.3">
      <c r="A6">
        <v>1</v>
      </c>
      <c r="B6" t="s">
        <v>11</v>
      </c>
      <c r="C6" s="2">
        <v>0.15</v>
      </c>
      <c r="D6" s="3">
        <f>C6*C2</f>
        <v>210</v>
      </c>
      <c r="F6">
        <v>1</v>
      </c>
      <c r="G6" t="s">
        <v>11</v>
      </c>
      <c r="H6" s="2">
        <v>0.15</v>
      </c>
      <c r="I6" s="3">
        <f>H6*H2</f>
        <v>180</v>
      </c>
      <c r="K6">
        <v>1</v>
      </c>
      <c r="L6" t="s">
        <v>11</v>
      </c>
      <c r="M6" s="2">
        <v>0.15</v>
      </c>
      <c r="N6" s="1">
        <f>M6*M2*2</f>
        <v>150</v>
      </c>
    </row>
    <row r="7" spans="1:14" x14ac:dyDescent="0.3">
      <c r="A7">
        <v>2</v>
      </c>
      <c r="B7" t="s">
        <v>12</v>
      </c>
      <c r="C7" s="2">
        <v>0.11</v>
      </c>
      <c r="D7" s="3">
        <f>C7*C2</f>
        <v>154</v>
      </c>
      <c r="F7">
        <v>2</v>
      </c>
      <c r="G7" t="s">
        <v>12</v>
      </c>
      <c r="H7" s="2">
        <v>0.11</v>
      </c>
      <c r="I7" s="3">
        <f>H7*H2</f>
        <v>132</v>
      </c>
      <c r="K7">
        <v>2</v>
      </c>
      <c r="L7" t="s">
        <v>23</v>
      </c>
      <c r="M7" s="2">
        <v>0.02</v>
      </c>
      <c r="N7" s="1">
        <f>$M$2*M7</f>
        <v>10</v>
      </c>
    </row>
    <row r="8" spans="1:14" x14ac:dyDescent="0.3">
      <c r="A8">
        <v>3</v>
      </c>
      <c r="B8" t="s">
        <v>19</v>
      </c>
      <c r="C8" s="1">
        <v>300</v>
      </c>
      <c r="D8" s="1">
        <v>300</v>
      </c>
      <c r="F8">
        <v>3</v>
      </c>
      <c r="G8" t="s">
        <v>19</v>
      </c>
      <c r="H8" s="1">
        <v>300</v>
      </c>
      <c r="I8" s="1">
        <v>300</v>
      </c>
      <c r="K8">
        <v>3</v>
      </c>
      <c r="L8" t="s">
        <v>13</v>
      </c>
      <c r="M8" s="5">
        <v>3.0000000000000001E-3</v>
      </c>
      <c r="N8" s="1">
        <f t="shared" ref="N8:N12" si="0">$M$2*M8</f>
        <v>1.5</v>
      </c>
    </row>
    <row r="9" spans="1:14" x14ac:dyDescent="0.3">
      <c r="A9">
        <v>4</v>
      </c>
      <c r="B9" t="s">
        <v>14</v>
      </c>
      <c r="C9" s="1">
        <v>120</v>
      </c>
      <c r="D9" s="1">
        <f>C9</f>
        <v>120</v>
      </c>
      <c r="F9">
        <v>4</v>
      </c>
      <c r="G9" t="s">
        <v>13</v>
      </c>
      <c r="H9" s="1">
        <v>50</v>
      </c>
      <c r="I9" s="1">
        <f>H9</f>
        <v>50</v>
      </c>
      <c r="K9">
        <v>4</v>
      </c>
      <c r="L9" t="s">
        <v>14</v>
      </c>
      <c r="M9" s="5">
        <v>3.0000000000000001E-3</v>
      </c>
      <c r="N9" s="1">
        <f t="shared" si="0"/>
        <v>1.5</v>
      </c>
    </row>
    <row r="10" spans="1:14" x14ac:dyDescent="0.3">
      <c r="A10">
        <v>5</v>
      </c>
      <c r="B10" t="s">
        <v>15</v>
      </c>
      <c r="C10" s="1">
        <v>60</v>
      </c>
      <c r="D10" s="1">
        <f t="shared" ref="D10:D12" si="1">C10</f>
        <v>60</v>
      </c>
      <c r="F10">
        <v>5</v>
      </c>
      <c r="G10" t="s">
        <v>14</v>
      </c>
      <c r="H10" s="1">
        <v>40</v>
      </c>
      <c r="I10" s="1">
        <f t="shared" ref="I10:I13" si="2">H10</f>
        <v>40</v>
      </c>
      <c r="K10">
        <v>5</v>
      </c>
      <c r="L10" t="s">
        <v>15</v>
      </c>
      <c r="M10" s="5">
        <v>3.0000000000000001E-3</v>
      </c>
      <c r="N10" s="1">
        <f t="shared" si="0"/>
        <v>1.5</v>
      </c>
    </row>
    <row r="11" spans="1:14" x14ac:dyDescent="0.3">
      <c r="A11">
        <v>6</v>
      </c>
      <c r="B11" t="s">
        <v>16</v>
      </c>
      <c r="C11" s="1">
        <v>36</v>
      </c>
      <c r="D11" s="1">
        <f t="shared" si="1"/>
        <v>36</v>
      </c>
      <c r="F11">
        <v>6</v>
      </c>
      <c r="G11" t="s">
        <v>15</v>
      </c>
      <c r="H11" s="1">
        <v>30</v>
      </c>
      <c r="I11" s="1">
        <f t="shared" si="2"/>
        <v>30</v>
      </c>
      <c r="K11">
        <v>6</v>
      </c>
      <c r="L11" t="s">
        <v>16</v>
      </c>
      <c r="M11" s="5">
        <v>3.0000000000000001E-3</v>
      </c>
      <c r="N11" s="1">
        <f t="shared" si="0"/>
        <v>1.5</v>
      </c>
    </row>
    <row r="12" spans="1:14" x14ac:dyDescent="0.3">
      <c r="A12">
        <v>7</v>
      </c>
      <c r="B12" t="s">
        <v>17</v>
      </c>
      <c r="C12" s="1">
        <v>24</v>
      </c>
      <c r="D12" s="1">
        <f t="shared" si="1"/>
        <v>24</v>
      </c>
      <c r="F12">
        <v>7</v>
      </c>
      <c r="G12" t="s">
        <v>16</v>
      </c>
      <c r="H12" s="1">
        <v>20</v>
      </c>
      <c r="I12" s="1">
        <f t="shared" si="2"/>
        <v>20</v>
      </c>
      <c r="K12">
        <v>7</v>
      </c>
      <c r="L12" t="s">
        <v>17</v>
      </c>
      <c r="M12" s="5">
        <v>3.0000000000000001E-3</v>
      </c>
      <c r="N12" s="1">
        <f t="shared" si="0"/>
        <v>1.5</v>
      </c>
    </row>
    <row r="13" spans="1:14" x14ac:dyDescent="0.3">
      <c r="A13">
        <v>8</v>
      </c>
      <c r="B13" t="s">
        <v>18</v>
      </c>
      <c r="C13" s="1">
        <v>50</v>
      </c>
      <c r="D13" s="1">
        <v>50</v>
      </c>
      <c r="F13">
        <v>8</v>
      </c>
      <c r="G13" t="s">
        <v>17</v>
      </c>
      <c r="H13" s="1">
        <v>10</v>
      </c>
      <c r="I13" s="1">
        <f t="shared" si="2"/>
        <v>10</v>
      </c>
      <c r="K13">
        <v>8</v>
      </c>
      <c r="L13" t="s">
        <v>24</v>
      </c>
      <c r="M13" s="39">
        <f>'Simulação-MMN'!O14</f>
        <v>0</v>
      </c>
      <c r="N13" s="1">
        <f>M2*M13</f>
        <v>0</v>
      </c>
    </row>
    <row r="14" spans="1:14" x14ac:dyDescent="0.3">
      <c r="C14" s="1"/>
      <c r="D14" s="1"/>
      <c r="F14">
        <v>9</v>
      </c>
      <c r="G14" t="s">
        <v>18</v>
      </c>
      <c r="H14" s="1">
        <v>50</v>
      </c>
      <c r="I14" s="1">
        <v>50</v>
      </c>
    </row>
    <row r="16" spans="1:14" x14ac:dyDescent="0.3">
      <c r="B16" t="s">
        <v>20</v>
      </c>
      <c r="D16" s="3">
        <f>C2-SUM(D6:D14)</f>
        <v>446</v>
      </c>
      <c r="G16" t="s">
        <v>20</v>
      </c>
      <c r="I16" s="3">
        <f>H2-SUM(I6:I14)</f>
        <v>388</v>
      </c>
      <c r="L16" t="s">
        <v>52</v>
      </c>
      <c r="N16" s="3">
        <f>'Simulador-Rent Revo'!AY3</f>
        <v>0</v>
      </c>
    </row>
  </sheetData>
  <mergeCells count="4">
    <mergeCell ref="A4:D4"/>
    <mergeCell ref="F4:I4"/>
    <mergeCell ref="K4:N4"/>
    <mergeCell ref="K2:L2"/>
  </mergeCells>
  <phoneticPr fontId="3" type="noConversion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83EFF-FC02-2240-A652-E8842C815282}">
  <dimension ref="A1:D6"/>
  <sheetViews>
    <sheetView tabSelected="1" zoomScale="150" workbookViewId="0">
      <selection activeCell="B4" sqref="B4:C6"/>
    </sheetView>
  </sheetViews>
  <sheetFormatPr defaultColWidth="11.5546875" defaultRowHeight="14.4" x14ac:dyDescent="0.3"/>
  <cols>
    <col min="1" max="1" width="19.33203125" bestFit="1" customWidth="1"/>
  </cols>
  <sheetData>
    <row r="1" spans="1:4" x14ac:dyDescent="0.3">
      <c r="A1" s="77" t="s">
        <v>88</v>
      </c>
      <c r="B1" s="77"/>
      <c r="C1" s="77"/>
      <c r="D1" t="s">
        <v>91</v>
      </c>
    </row>
    <row r="2" spans="1:4" x14ac:dyDescent="0.3">
      <c r="A2" t="s">
        <v>89</v>
      </c>
      <c r="B2">
        <v>100</v>
      </c>
      <c r="D2">
        <v>300</v>
      </c>
    </row>
    <row r="3" spans="1:4" x14ac:dyDescent="0.3">
      <c r="A3" t="s">
        <v>90</v>
      </c>
      <c r="B3">
        <v>100</v>
      </c>
    </row>
    <row r="4" spans="1:4" x14ac:dyDescent="0.3">
      <c r="A4" t="s">
        <v>109</v>
      </c>
      <c r="B4">
        <f>D2*0.1</f>
        <v>30</v>
      </c>
      <c r="C4" t="s">
        <v>110</v>
      </c>
    </row>
    <row r="5" spans="1:4" x14ac:dyDescent="0.3">
      <c r="A5" t="s">
        <v>111</v>
      </c>
      <c r="C5" t="s">
        <v>110</v>
      </c>
    </row>
    <row r="6" spans="1:4" x14ac:dyDescent="0.3">
      <c r="A6" t="s">
        <v>112</v>
      </c>
      <c r="C6" t="s">
        <v>113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CB080-5842-40B9-8EE2-EC4347FCC5C5}">
  <dimension ref="A2:AY29"/>
  <sheetViews>
    <sheetView zoomScale="150" workbookViewId="0">
      <selection activeCell="AA8" sqref="AA8"/>
    </sheetView>
  </sheetViews>
  <sheetFormatPr defaultColWidth="8.77734375" defaultRowHeight="14.4" x14ac:dyDescent="0.3"/>
  <cols>
    <col min="1" max="1" width="27.77734375" bestFit="1" customWidth="1"/>
    <col min="2" max="2" width="17.77734375" customWidth="1"/>
    <col min="3" max="50" width="11.77734375" bestFit="1" customWidth="1"/>
    <col min="51" max="51" width="10.33203125" bestFit="1" customWidth="1"/>
  </cols>
  <sheetData>
    <row r="2" spans="1:51" x14ac:dyDescent="0.3"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51" x14ac:dyDescent="0.3">
      <c r="A3" t="str">
        <f>"Conta Energia de R$ "&amp;'Base de Calculo-MMN'!M2&amp;""</f>
        <v>Conta Energia de R$ 500</v>
      </c>
      <c r="C3" s="1">
        <f>'Base de Calculo-MMN'!M2</f>
        <v>500</v>
      </c>
      <c r="D3" s="1">
        <f>$C$3*0.05</f>
        <v>25</v>
      </c>
      <c r="E3" s="1">
        <f t="shared" ref="E3:AA3" si="0">$C$3*0.05</f>
        <v>25</v>
      </c>
      <c r="F3" s="1">
        <f t="shared" si="0"/>
        <v>25</v>
      </c>
      <c r="G3" s="1">
        <f t="shared" si="0"/>
        <v>25</v>
      </c>
      <c r="H3" s="1">
        <f t="shared" si="0"/>
        <v>25</v>
      </c>
      <c r="I3" s="1">
        <f t="shared" si="0"/>
        <v>25</v>
      </c>
      <c r="J3" s="1">
        <f t="shared" si="0"/>
        <v>25</v>
      </c>
      <c r="K3" s="1">
        <f t="shared" si="0"/>
        <v>25</v>
      </c>
      <c r="L3" s="1">
        <f t="shared" si="0"/>
        <v>25</v>
      </c>
      <c r="M3" s="1">
        <f t="shared" si="0"/>
        <v>25</v>
      </c>
      <c r="N3" s="1">
        <f t="shared" si="0"/>
        <v>25</v>
      </c>
      <c r="O3" s="1">
        <f t="shared" si="0"/>
        <v>25</v>
      </c>
      <c r="P3" s="1">
        <f t="shared" si="0"/>
        <v>25</v>
      </c>
      <c r="Q3" s="1">
        <f t="shared" si="0"/>
        <v>25</v>
      </c>
      <c r="R3" s="1">
        <f t="shared" si="0"/>
        <v>25</v>
      </c>
      <c r="S3" s="1">
        <f t="shared" si="0"/>
        <v>25</v>
      </c>
      <c r="T3" s="1">
        <f t="shared" si="0"/>
        <v>25</v>
      </c>
      <c r="U3" s="1">
        <f t="shared" si="0"/>
        <v>25</v>
      </c>
      <c r="V3" s="1">
        <f t="shared" si="0"/>
        <v>25</v>
      </c>
      <c r="W3" s="1">
        <f t="shared" si="0"/>
        <v>25</v>
      </c>
      <c r="X3" s="1">
        <f t="shared" si="0"/>
        <v>25</v>
      </c>
      <c r="Y3" s="1">
        <f t="shared" si="0"/>
        <v>25</v>
      </c>
      <c r="Z3" s="1">
        <f t="shared" si="0"/>
        <v>25</v>
      </c>
      <c r="AA3" s="1">
        <f t="shared" si="0"/>
        <v>25</v>
      </c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3">
      <c r="A4" t="s">
        <v>26</v>
      </c>
      <c r="B4" s="2">
        <v>0.15</v>
      </c>
      <c r="C4" s="1">
        <f>C3*B4</f>
        <v>75</v>
      </c>
      <c r="D4" s="1">
        <f>D3*$B$4</f>
        <v>3.75</v>
      </c>
      <c r="E4" s="1">
        <f t="shared" ref="E4:AA4" si="1">E3*$B$4</f>
        <v>3.75</v>
      </c>
      <c r="F4" s="1">
        <f t="shared" si="1"/>
        <v>3.75</v>
      </c>
      <c r="G4" s="1">
        <f t="shared" si="1"/>
        <v>3.75</v>
      </c>
      <c r="H4" s="1">
        <f t="shared" si="1"/>
        <v>3.75</v>
      </c>
      <c r="I4" s="1">
        <f t="shared" si="1"/>
        <v>3.75</v>
      </c>
      <c r="J4" s="1">
        <f t="shared" si="1"/>
        <v>3.75</v>
      </c>
      <c r="K4" s="1">
        <f t="shared" si="1"/>
        <v>3.75</v>
      </c>
      <c r="L4" s="1">
        <f t="shared" si="1"/>
        <v>3.75</v>
      </c>
      <c r="M4" s="1">
        <f t="shared" si="1"/>
        <v>3.75</v>
      </c>
      <c r="N4" s="1">
        <f t="shared" si="1"/>
        <v>3.75</v>
      </c>
      <c r="O4" s="1">
        <f t="shared" si="1"/>
        <v>3.75</v>
      </c>
      <c r="P4" s="1">
        <f t="shared" si="1"/>
        <v>3.75</v>
      </c>
      <c r="Q4" s="1">
        <f t="shared" si="1"/>
        <v>3.75</v>
      </c>
      <c r="R4" s="1">
        <f t="shared" si="1"/>
        <v>3.75</v>
      </c>
      <c r="S4" s="1">
        <f t="shared" si="1"/>
        <v>3.75</v>
      </c>
      <c r="T4" s="1">
        <f t="shared" si="1"/>
        <v>3.75</v>
      </c>
      <c r="U4" s="1">
        <f t="shared" si="1"/>
        <v>3.75</v>
      </c>
      <c r="V4" s="1">
        <f t="shared" si="1"/>
        <v>3.75</v>
      </c>
      <c r="W4" s="1">
        <f t="shared" si="1"/>
        <v>3.75</v>
      </c>
      <c r="X4" s="1">
        <f t="shared" si="1"/>
        <v>3.75</v>
      </c>
      <c r="Y4" s="1">
        <f t="shared" si="1"/>
        <v>3.75</v>
      </c>
      <c r="Z4" s="1">
        <f t="shared" si="1"/>
        <v>3.75</v>
      </c>
      <c r="AA4" s="1">
        <f t="shared" si="1"/>
        <v>3.75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3">
      <c r="A5" t="str">
        <f>"Comissão da rede "&amp;SUM('Simulação-MMN'!O8:O13)</f>
        <v>Comissão da rede 0,04</v>
      </c>
      <c r="B5" s="5">
        <f>SUM('Simulação-MMN'!O8:O13)</f>
        <v>4.0000000000000008E-2</v>
      </c>
      <c r="C5" s="1"/>
      <c r="D5" s="1">
        <f t="shared" ref="D5:AA5" si="2">$C$3*$B$5</f>
        <v>20.000000000000004</v>
      </c>
      <c r="E5" s="1">
        <f t="shared" si="2"/>
        <v>20.000000000000004</v>
      </c>
      <c r="F5" s="1">
        <f t="shared" si="2"/>
        <v>20.000000000000004</v>
      </c>
      <c r="G5" s="1">
        <f t="shared" si="2"/>
        <v>20.000000000000004</v>
      </c>
      <c r="H5" s="1">
        <f t="shared" si="2"/>
        <v>20.000000000000004</v>
      </c>
      <c r="I5" s="1">
        <f t="shared" si="2"/>
        <v>20.000000000000004</v>
      </c>
      <c r="J5" s="1">
        <f t="shared" si="2"/>
        <v>20.000000000000004</v>
      </c>
      <c r="K5" s="1">
        <f t="shared" si="2"/>
        <v>20.000000000000004</v>
      </c>
      <c r="L5" s="1">
        <f t="shared" si="2"/>
        <v>20.000000000000004</v>
      </c>
      <c r="M5" s="1">
        <f t="shared" si="2"/>
        <v>20.000000000000004</v>
      </c>
      <c r="N5" s="1">
        <f t="shared" si="2"/>
        <v>20.000000000000004</v>
      </c>
      <c r="O5" s="1">
        <f t="shared" si="2"/>
        <v>20.000000000000004</v>
      </c>
      <c r="P5" s="1">
        <f t="shared" si="2"/>
        <v>20.000000000000004</v>
      </c>
      <c r="Q5" s="1">
        <f t="shared" si="2"/>
        <v>20.000000000000004</v>
      </c>
      <c r="R5" s="1">
        <f t="shared" si="2"/>
        <v>20.000000000000004</v>
      </c>
      <c r="S5" s="1">
        <f t="shared" si="2"/>
        <v>20.000000000000004</v>
      </c>
      <c r="T5" s="1">
        <f t="shared" si="2"/>
        <v>20.000000000000004</v>
      </c>
      <c r="U5" s="1">
        <f t="shared" si="2"/>
        <v>20.000000000000004</v>
      </c>
      <c r="V5" s="1">
        <f t="shared" si="2"/>
        <v>20.000000000000004</v>
      </c>
      <c r="W5" s="1">
        <f t="shared" si="2"/>
        <v>20.000000000000004</v>
      </c>
      <c r="X5" s="1">
        <f t="shared" si="2"/>
        <v>20.000000000000004</v>
      </c>
      <c r="Y5" s="1">
        <f t="shared" si="2"/>
        <v>20.000000000000004</v>
      </c>
      <c r="Z5" s="1">
        <f t="shared" si="2"/>
        <v>20.000000000000004</v>
      </c>
      <c r="AA5" s="1">
        <f t="shared" si="2"/>
        <v>20.000000000000004</v>
      </c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3">
      <c r="A6" t="s">
        <v>74</v>
      </c>
      <c r="D6" s="3">
        <f>D3-D4-D5</f>
        <v>1.2499999999999964</v>
      </c>
      <c r="E6" s="3">
        <f t="shared" ref="E6:AA6" si="3">E3-E4-E5</f>
        <v>1.2499999999999964</v>
      </c>
      <c r="F6" s="3">
        <f t="shared" si="3"/>
        <v>1.2499999999999964</v>
      </c>
      <c r="G6" s="3">
        <f t="shared" si="3"/>
        <v>1.2499999999999964</v>
      </c>
      <c r="H6" s="3">
        <f t="shared" si="3"/>
        <v>1.2499999999999964</v>
      </c>
      <c r="I6" s="3">
        <f t="shared" si="3"/>
        <v>1.2499999999999964</v>
      </c>
      <c r="J6" s="3">
        <f t="shared" si="3"/>
        <v>1.2499999999999964</v>
      </c>
      <c r="K6" s="3">
        <f t="shared" si="3"/>
        <v>1.2499999999999964</v>
      </c>
      <c r="L6" s="3">
        <f t="shared" si="3"/>
        <v>1.2499999999999964</v>
      </c>
      <c r="M6" s="3">
        <f t="shared" si="3"/>
        <v>1.2499999999999964</v>
      </c>
      <c r="N6" s="3">
        <f t="shared" si="3"/>
        <v>1.2499999999999964</v>
      </c>
      <c r="O6" s="3">
        <f t="shared" si="3"/>
        <v>1.2499999999999964</v>
      </c>
      <c r="P6" s="3">
        <f t="shared" si="3"/>
        <v>1.2499999999999964</v>
      </c>
      <c r="Q6" s="3">
        <f t="shared" si="3"/>
        <v>1.2499999999999964</v>
      </c>
      <c r="R6" s="3">
        <f t="shared" si="3"/>
        <v>1.2499999999999964</v>
      </c>
      <c r="S6" s="3">
        <f t="shared" si="3"/>
        <v>1.2499999999999964</v>
      </c>
      <c r="T6" s="3">
        <f t="shared" si="3"/>
        <v>1.2499999999999964</v>
      </c>
      <c r="U6" s="3">
        <f t="shared" si="3"/>
        <v>1.2499999999999964</v>
      </c>
      <c r="V6" s="3">
        <f t="shared" si="3"/>
        <v>1.2499999999999964</v>
      </c>
      <c r="W6" s="3">
        <f t="shared" si="3"/>
        <v>1.2499999999999964</v>
      </c>
      <c r="X6" s="3">
        <f t="shared" si="3"/>
        <v>1.2499999999999964</v>
      </c>
      <c r="Y6" s="3">
        <f t="shared" si="3"/>
        <v>1.2499999999999964</v>
      </c>
      <c r="Z6" s="3">
        <f t="shared" si="3"/>
        <v>1.2499999999999964</v>
      </c>
      <c r="AA6" s="3">
        <f t="shared" si="3"/>
        <v>1.2499999999999964</v>
      </c>
    </row>
    <row r="7" spans="1:51" x14ac:dyDescent="0.3">
      <c r="A7" t="str">
        <f>"Rentabilidade "&amp;'Simulação-MMN'!O14</f>
        <v>Rentabilidade 0</v>
      </c>
      <c r="B7" s="5">
        <f>'Simulação-MMN'!O14</f>
        <v>0</v>
      </c>
      <c r="E7" s="3">
        <f>D6*(1+$B$7)+E6</f>
        <v>2.4999999999999929</v>
      </c>
      <c r="F7" s="3">
        <f>E7*(1+$B$7)+F6</f>
        <v>3.7499999999999893</v>
      </c>
      <c r="G7" s="3">
        <f t="shared" ref="G7:K7" si="4">F7*(1+$B$7)+G6</f>
        <v>4.9999999999999858</v>
      </c>
      <c r="H7" s="3">
        <f t="shared" si="4"/>
        <v>6.2499999999999822</v>
      </c>
      <c r="I7" s="3">
        <f t="shared" si="4"/>
        <v>7.4999999999999787</v>
      </c>
      <c r="J7" s="3">
        <f t="shared" si="4"/>
        <v>8.7499999999999751</v>
      </c>
      <c r="K7" s="3">
        <f t="shared" si="4"/>
        <v>9.9999999999999716</v>
      </c>
      <c r="L7" s="3">
        <f t="shared" ref="L7" si="5">K7*(1+$B$7)+L6</f>
        <v>11.249999999999968</v>
      </c>
      <c r="M7" s="3">
        <f t="shared" ref="M7" si="6">L7*(1+$B$7)+M6</f>
        <v>12.499999999999964</v>
      </c>
      <c r="N7" s="3">
        <f t="shared" ref="N7" si="7">M7*(1+$B$7)+N6</f>
        <v>13.749999999999961</v>
      </c>
      <c r="O7" s="3">
        <f t="shared" ref="O7:P7" si="8">N7*(1+$B$7)+O6</f>
        <v>14.999999999999957</v>
      </c>
      <c r="P7" s="3">
        <f t="shared" si="8"/>
        <v>16.249999999999954</v>
      </c>
      <c r="Q7" s="3">
        <f t="shared" ref="Q7" si="9">P7*(1+$B$7)+Q6</f>
        <v>17.49999999999995</v>
      </c>
      <c r="R7" s="3">
        <f t="shared" ref="R7" si="10">Q7*(1+$B$7)+R6</f>
        <v>18.749999999999947</v>
      </c>
      <c r="S7" s="3">
        <f t="shared" ref="S7" si="11">R7*(1+$B$7)+S6</f>
        <v>19.999999999999943</v>
      </c>
      <c r="T7" s="3">
        <f t="shared" ref="T7:U7" si="12">S7*(1+$B$7)+T6</f>
        <v>21.24999999999994</v>
      </c>
      <c r="U7" s="3">
        <f t="shared" si="12"/>
        <v>22.499999999999936</v>
      </c>
      <c r="V7" s="3">
        <f t="shared" ref="V7" si="13">U7*(1+$B$7)+V6</f>
        <v>23.749999999999932</v>
      </c>
      <c r="W7" s="3">
        <f t="shared" ref="W7" si="14">V7*(1+$B$7)+W6</f>
        <v>24.999999999999929</v>
      </c>
      <c r="X7" s="3">
        <f t="shared" ref="X7" si="15">W7*(1+$B$7)+X6</f>
        <v>26.249999999999925</v>
      </c>
      <c r="Y7" s="3">
        <f t="shared" ref="Y7:Z7" si="16">X7*(1+$B$7)+Y6</f>
        <v>27.499999999999922</v>
      </c>
      <c r="Z7" s="3">
        <f t="shared" si="16"/>
        <v>28.749999999999918</v>
      </c>
      <c r="AA7" s="3">
        <f>Z7*(1+$B$7)+AA6</f>
        <v>29.999999999999915</v>
      </c>
    </row>
    <row r="14" spans="1:51" ht="15" thickBot="1" x14ac:dyDescent="0.35">
      <c r="A14" s="28" t="s">
        <v>54</v>
      </c>
      <c r="B14" s="7"/>
      <c r="C14" s="38" t="s">
        <v>69</v>
      </c>
    </row>
    <row r="15" spans="1:51" ht="15.6" thickTop="1" thickBot="1" x14ac:dyDescent="0.35">
      <c r="A15" s="80"/>
      <c r="B15" s="8"/>
      <c r="C15" s="82" t="s">
        <v>55</v>
      </c>
      <c r="D15" s="82"/>
      <c r="E15" s="82"/>
      <c r="F15" s="82"/>
      <c r="G15" s="82"/>
      <c r="H15" s="82"/>
      <c r="I15" s="82"/>
      <c r="J15" s="82"/>
      <c r="K15" s="82"/>
      <c r="L15" s="82"/>
      <c r="M15" s="83"/>
    </row>
    <row r="16" spans="1:51" ht="15.6" thickTop="1" thickBot="1" x14ac:dyDescent="0.35">
      <c r="A16" s="81"/>
      <c r="B16" s="35">
        <v>2023</v>
      </c>
      <c r="C16" s="36">
        <v>2024</v>
      </c>
      <c r="D16" s="36">
        <v>2025</v>
      </c>
      <c r="E16" s="36">
        <v>2026</v>
      </c>
      <c r="F16" s="36">
        <v>2027</v>
      </c>
      <c r="G16" s="36">
        <v>2028</v>
      </c>
      <c r="H16" s="36">
        <v>2029</v>
      </c>
      <c r="I16" s="36">
        <v>2030</v>
      </c>
      <c r="J16" s="36">
        <v>2031</v>
      </c>
      <c r="K16" s="36">
        <v>2032</v>
      </c>
      <c r="L16" s="36">
        <v>2033</v>
      </c>
      <c r="M16" s="37">
        <v>2034</v>
      </c>
    </row>
    <row r="17" spans="1:13" ht="15" thickTop="1" x14ac:dyDescent="0.3">
      <c r="A17" s="29" t="s">
        <v>56</v>
      </c>
      <c r="B17" s="10">
        <v>3.24</v>
      </c>
      <c r="C17" s="9">
        <v>3.53</v>
      </c>
      <c r="D17" s="9">
        <v>1.86</v>
      </c>
      <c r="E17" s="9">
        <v>2.13</v>
      </c>
      <c r="F17" s="9">
        <v>2.16</v>
      </c>
      <c r="G17" s="9">
        <v>2.1800000000000002</v>
      </c>
      <c r="H17" s="9">
        <v>2.2200000000000002</v>
      </c>
      <c r="I17" s="9">
        <v>2.27</v>
      </c>
      <c r="J17" s="9">
        <v>2.27</v>
      </c>
      <c r="K17" s="9">
        <v>2.29</v>
      </c>
      <c r="L17" s="9">
        <v>2.34</v>
      </c>
      <c r="M17" s="11">
        <v>2.31</v>
      </c>
    </row>
    <row r="18" spans="1:13" x14ac:dyDescent="0.3">
      <c r="A18" s="30" t="s">
        <v>57</v>
      </c>
      <c r="B18" s="13">
        <v>10943</v>
      </c>
      <c r="C18" s="12">
        <v>11809</v>
      </c>
      <c r="D18" s="12">
        <v>12600</v>
      </c>
      <c r="E18" s="12">
        <v>13408</v>
      </c>
      <c r="F18" s="12">
        <v>14224</v>
      </c>
      <c r="G18" s="12">
        <v>15048</v>
      </c>
      <c r="H18" s="12">
        <v>15936</v>
      </c>
      <c r="I18" s="12">
        <v>16884</v>
      </c>
      <c r="J18" s="12">
        <v>17889</v>
      </c>
      <c r="K18" s="12">
        <v>18958</v>
      </c>
      <c r="L18" s="12">
        <v>20100</v>
      </c>
      <c r="M18" s="14">
        <v>21305</v>
      </c>
    </row>
    <row r="19" spans="1:13" x14ac:dyDescent="0.3">
      <c r="A19" s="31" t="s">
        <v>58</v>
      </c>
      <c r="B19" s="16">
        <v>4.62</v>
      </c>
      <c r="C19" s="15">
        <v>4.93</v>
      </c>
      <c r="D19" s="15">
        <v>4.4400000000000004</v>
      </c>
      <c r="E19" s="17">
        <v>3.64</v>
      </c>
      <c r="F19" s="17">
        <v>3.3</v>
      </c>
      <c r="G19" s="17">
        <v>3</v>
      </c>
      <c r="H19" s="17">
        <v>3</v>
      </c>
      <c r="I19" s="17">
        <v>3</v>
      </c>
      <c r="J19" s="17">
        <v>3</v>
      </c>
      <c r="K19" s="17">
        <v>3</v>
      </c>
      <c r="L19" s="17">
        <v>3</v>
      </c>
      <c r="M19" s="18">
        <v>3</v>
      </c>
    </row>
    <row r="20" spans="1:13" ht="24" x14ac:dyDescent="0.3">
      <c r="A20" s="30" t="s">
        <v>59</v>
      </c>
      <c r="B20" s="20">
        <v>4.84</v>
      </c>
      <c r="C20" s="19">
        <v>5.95</v>
      </c>
      <c r="D20" s="19">
        <v>5.95</v>
      </c>
      <c r="E20" s="21">
        <v>6.05</v>
      </c>
      <c r="F20" s="21">
        <v>6.12</v>
      </c>
      <c r="G20" s="21">
        <v>6.18</v>
      </c>
      <c r="H20" s="21">
        <v>6.24</v>
      </c>
      <c r="I20" s="21">
        <v>6.3</v>
      </c>
      <c r="J20" s="21">
        <v>6.37</v>
      </c>
      <c r="K20" s="21">
        <v>6.43</v>
      </c>
      <c r="L20" s="21">
        <v>6.49</v>
      </c>
      <c r="M20" s="22">
        <v>6.56</v>
      </c>
    </row>
    <row r="21" spans="1:13" x14ac:dyDescent="0.3">
      <c r="A21" s="31" t="s">
        <v>60</v>
      </c>
      <c r="B21" s="16">
        <v>1.37</v>
      </c>
      <c r="C21" s="15">
        <v>2.7</v>
      </c>
      <c r="D21" s="15">
        <v>1.02</v>
      </c>
      <c r="E21" s="17">
        <v>1.17</v>
      </c>
      <c r="F21" s="17">
        <v>1.19</v>
      </c>
      <c r="G21" s="17">
        <v>1.2</v>
      </c>
      <c r="H21" s="17">
        <v>1.22</v>
      </c>
      <c r="I21" s="17">
        <v>1.25</v>
      </c>
      <c r="J21" s="17">
        <v>1.25</v>
      </c>
      <c r="K21" s="17">
        <v>1.26</v>
      </c>
      <c r="L21" s="17">
        <v>1.29</v>
      </c>
      <c r="M21" s="18">
        <v>1.27</v>
      </c>
    </row>
    <row r="22" spans="1:13" x14ac:dyDescent="0.3">
      <c r="A22" s="30" t="s">
        <v>61</v>
      </c>
      <c r="B22" s="20">
        <v>6.91</v>
      </c>
      <c r="C22" s="19">
        <v>6.81</v>
      </c>
      <c r="D22" s="19">
        <v>2.2400000000000002</v>
      </c>
      <c r="E22" s="21">
        <v>2.13</v>
      </c>
      <c r="F22" s="21">
        <v>2.16</v>
      </c>
      <c r="G22" s="21">
        <v>2.1800000000000002</v>
      </c>
      <c r="H22" s="21">
        <v>2.2200000000000002</v>
      </c>
      <c r="I22" s="21">
        <v>2.27</v>
      </c>
      <c r="J22" s="21">
        <v>2.27</v>
      </c>
      <c r="K22" s="21">
        <v>2.29</v>
      </c>
      <c r="L22" s="21">
        <v>2.34</v>
      </c>
      <c r="M22" s="22">
        <v>2.31</v>
      </c>
    </row>
    <row r="23" spans="1:13" x14ac:dyDescent="0.3">
      <c r="A23" s="31" t="s">
        <v>62</v>
      </c>
      <c r="B23" s="16">
        <v>11.75</v>
      </c>
      <c r="C23" s="15">
        <v>12.25</v>
      </c>
      <c r="D23" s="15">
        <v>14.25</v>
      </c>
      <c r="E23" s="17">
        <v>11.75</v>
      </c>
      <c r="F23" s="17">
        <v>10.5</v>
      </c>
      <c r="G23" s="17">
        <v>9.5</v>
      </c>
      <c r="H23" s="17">
        <v>8.5</v>
      </c>
      <c r="I23" s="17">
        <v>8</v>
      </c>
      <c r="J23" s="17">
        <v>8</v>
      </c>
      <c r="K23" s="17">
        <v>8</v>
      </c>
      <c r="L23" s="17">
        <v>8</v>
      </c>
      <c r="M23" s="18">
        <v>8</v>
      </c>
    </row>
    <row r="24" spans="1:13" x14ac:dyDescent="0.3">
      <c r="A24" s="30" t="s">
        <v>63</v>
      </c>
      <c r="B24" s="20">
        <v>5.94</v>
      </c>
      <c r="C24" s="19">
        <v>7.5</v>
      </c>
      <c r="D24" s="19">
        <v>7.18</v>
      </c>
      <c r="E24" s="21">
        <v>6.38</v>
      </c>
      <c r="F24" s="21">
        <v>5.78</v>
      </c>
      <c r="G24" s="21">
        <v>5.21</v>
      </c>
      <c r="H24" s="21">
        <v>4.78</v>
      </c>
      <c r="I24" s="21">
        <v>4.8099999999999996</v>
      </c>
      <c r="J24" s="21">
        <v>4.83</v>
      </c>
      <c r="K24" s="21">
        <v>4.84</v>
      </c>
      <c r="L24" s="21">
        <v>4.84</v>
      </c>
      <c r="M24" s="22">
        <v>4.84</v>
      </c>
    </row>
    <row r="25" spans="1:13" ht="24" x14ac:dyDescent="0.3">
      <c r="A25" s="32" t="s">
        <v>64</v>
      </c>
      <c r="B25" s="23">
        <v>-2.29</v>
      </c>
      <c r="C25" s="17">
        <v>-0.36</v>
      </c>
      <c r="D25" s="15">
        <v>-0.71</v>
      </c>
      <c r="E25" s="17">
        <v>-1.05</v>
      </c>
      <c r="F25" s="17">
        <v>-1.04</v>
      </c>
      <c r="G25" s="17">
        <v>-1.17</v>
      </c>
      <c r="H25" s="17">
        <v>-1.32</v>
      </c>
      <c r="I25" s="17">
        <v>-1.45</v>
      </c>
      <c r="J25" s="17">
        <v>-1.59</v>
      </c>
      <c r="K25" s="17">
        <v>-1.68</v>
      </c>
      <c r="L25" s="17">
        <v>-1.28</v>
      </c>
      <c r="M25" s="18">
        <v>-1.21</v>
      </c>
    </row>
    <row r="26" spans="1:13" x14ac:dyDescent="0.3">
      <c r="A26" s="33" t="s">
        <v>65</v>
      </c>
      <c r="B26" s="24">
        <v>-2.44</v>
      </c>
      <c r="C26" s="21">
        <v>-0.42</v>
      </c>
      <c r="D26" s="19">
        <v>-0.71</v>
      </c>
      <c r="E26" s="21">
        <v>-1</v>
      </c>
      <c r="F26" s="21">
        <v>-1.03</v>
      </c>
      <c r="G26" s="21">
        <v>-1.1399999999999999</v>
      </c>
      <c r="H26" s="21">
        <v>-1.29</v>
      </c>
      <c r="I26" s="21">
        <v>-1.41</v>
      </c>
      <c r="J26" s="21">
        <v>-1.55</v>
      </c>
      <c r="K26" s="21">
        <v>-1.65</v>
      </c>
      <c r="L26" s="21">
        <v>-1.24</v>
      </c>
      <c r="M26" s="22">
        <v>-1.17</v>
      </c>
    </row>
    <row r="27" spans="1:13" x14ac:dyDescent="0.3">
      <c r="A27" s="32" t="s">
        <v>66</v>
      </c>
      <c r="B27" s="23">
        <v>6.62</v>
      </c>
      <c r="C27" s="17">
        <v>7.68</v>
      </c>
      <c r="D27" s="15">
        <v>8.91</v>
      </c>
      <c r="E27" s="17">
        <v>8.6300000000000008</v>
      </c>
      <c r="F27" s="17">
        <v>8.39</v>
      </c>
      <c r="G27" s="17">
        <v>8.1199999999999992</v>
      </c>
      <c r="H27" s="17">
        <v>7.51</v>
      </c>
      <c r="I27" s="17">
        <v>7.23</v>
      </c>
      <c r="J27" s="17">
        <v>7.11</v>
      </c>
      <c r="K27" s="17">
        <v>7.11</v>
      </c>
      <c r="L27" s="17">
        <v>7.07</v>
      </c>
      <c r="M27" s="18">
        <v>7.07</v>
      </c>
    </row>
    <row r="28" spans="1:13" x14ac:dyDescent="0.3">
      <c r="A28" s="33" t="s">
        <v>67</v>
      </c>
      <c r="B28" s="24">
        <v>-8.91</v>
      </c>
      <c r="C28" s="21">
        <v>-8.0299999999999994</v>
      </c>
      <c r="D28" s="19">
        <v>-9.6199999999999992</v>
      </c>
      <c r="E28" s="21">
        <v>-9.68</v>
      </c>
      <c r="F28" s="21">
        <v>-9.43</v>
      </c>
      <c r="G28" s="21">
        <v>-9.2899999999999991</v>
      </c>
      <c r="H28" s="21">
        <v>-8.84</v>
      </c>
      <c r="I28" s="21">
        <v>-8.68</v>
      </c>
      <c r="J28" s="21">
        <v>-8.6999999999999993</v>
      </c>
      <c r="K28" s="21">
        <v>-8.7899999999999991</v>
      </c>
      <c r="L28" s="21">
        <v>-8.35</v>
      </c>
      <c r="M28" s="22">
        <v>-8.2799999999999994</v>
      </c>
    </row>
    <row r="29" spans="1:13" ht="24.6" thickBot="1" x14ac:dyDescent="0.35">
      <c r="A29" s="34" t="s">
        <v>68</v>
      </c>
      <c r="B29" s="26">
        <v>73.8</v>
      </c>
      <c r="C29" s="25">
        <v>78.3</v>
      </c>
      <c r="D29" s="25">
        <v>81.400000000000006</v>
      </c>
      <c r="E29" s="25">
        <v>86.3</v>
      </c>
      <c r="F29" s="25">
        <v>91</v>
      </c>
      <c r="G29" s="25">
        <v>95.3</v>
      </c>
      <c r="H29" s="25">
        <v>99</v>
      </c>
      <c r="I29" s="25">
        <v>102.3</v>
      </c>
      <c r="J29" s="25">
        <v>105.9</v>
      </c>
      <c r="K29" s="25">
        <v>109.6</v>
      </c>
      <c r="L29" s="25">
        <v>112.9</v>
      </c>
      <c r="M29" s="27">
        <v>116.3</v>
      </c>
    </row>
  </sheetData>
  <mergeCells count="2">
    <mergeCell ref="A15:A16"/>
    <mergeCell ref="C15:M15"/>
  </mergeCells>
  <phoneticPr fontId="3" type="noConversion"/>
  <hyperlinks>
    <hyperlink ref="C14" r:id="rId1" xr:uid="{469BC279-B8C4-4DA9-8658-4AFFACD1D72B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ORGANOGRAMA</vt:lpstr>
      <vt:lpstr>Funções - Faz Energy</vt:lpstr>
      <vt:lpstr>Fluxograma</vt:lpstr>
      <vt:lpstr>Simulação-MMN</vt:lpstr>
      <vt:lpstr>Base de Calculo-MMN</vt:lpstr>
      <vt:lpstr>Plano de Carreira</vt:lpstr>
      <vt:lpstr>Simulador-Rent Revo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Comercial Morada Verde Solar‎</dc:creator>
  <cp:lastModifiedBy>tiago correa</cp:lastModifiedBy>
  <dcterms:created xsi:type="dcterms:W3CDTF">2025-04-24T01:09:32Z</dcterms:created>
  <dcterms:modified xsi:type="dcterms:W3CDTF">2025-09-17T11:16:48Z</dcterms:modified>
</cp:coreProperties>
</file>